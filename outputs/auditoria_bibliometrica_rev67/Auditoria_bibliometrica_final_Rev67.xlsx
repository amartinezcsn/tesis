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95f0c72d1c42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1f5c4beb1c324797"/>
    <x:sheet xmlns:r="http://schemas.openxmlformats.org/officeDocument/2006/relationships" name="Auditoría completa" sheetId="2" r:id="Rfb2e95e954b6411f"/>
    <x:sheet xmlns:r="http://schemas.openxmlformats.org/officeDocument/2006/relationships" name="Hallazgos" sheetId="3" r:id="Rae03468774aa476d"/>
    <x:sheet xmlns:r="http://schemas.openxmlformats.org/officeDocument/2006/relationships" name="Método y fuentes" sheetId="4" r:id="R21ec65b30c244c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6"/>
      <x:color rgb="FF16324F"/>
      <x:name val="Arial"/>
    </x:font>
    <x:font>
      <x:i/>
      <x:sz val="10"/>
      <x:color rgb="FF51606D"/>
      <x:name val="Arial"/>
    </x:font>
    <x:font>
      <x:b/>
      <x:sz val="10"/>
      <x:color rgb="FF1F2933"/>
      <x:name val="Arial"/>
    </x:font>
    <x:font>
      <x:sz val="10"/>
      <x:color rgb="FF1F2933"/>
      <x:name val="Arial"/>
    </x:font>
    <x:font>
      <x:i/>
      <x:sz val="10"/>
      <x:color rgb="FF1F2933"/>
      <x:name val="Arial"/>
    </x:font>
    <x:font>
      <x:b/>
      <x:sz val="10"/>
      <x:color rgb="FFFFFFFF"/>
      <x:name val="Arial"/>
    </x:font>
    <x:font>
      <x:sz val="11"/>
      <x:color rgb="FF1F2933"/>
      <x:name val="Arial"/>
    </x:font>
    <x:font>
      <x:b/>
      <x:sz val="12"/>
      <x:color rgb="FF16324F"/>
      <x:name val="Arial"/>
    </x:font>
    <x:font>
      <x:b/>
      <x:sz val="10"/>
      <x:color rgb="FF16324F"/>
      <x:name val="Arial"/>
    </x:font>
    <x:font>
      <x:b/>
      <x:sz val="15"/>
      <x:color rgb="FF16324F"/>
      <x:name val="Arial"/>
    </x:font>
    <x:font>
      <x:b/>
      <x:i/>
      <x:sz val="10"/>
      <x:color rgb="FF51606D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5"/>
      </x:patternFill>
    </x:fill>
  </x:fills>
  <x:borders count="8">
    <x:border/>
    <x:border>
      <x:bottom style="thin">
        <x:color rgb="FF24557A"/>
      </x:bottom>
    </x:border>
    <x:border>
      <x:right style="thin">
        <x:color rgb="FFD6DEE5"/>
      </x:right>
      <x:bottom style="thin">
        <x:color rgb="FFD6DEE5"/>
      </x:bottom>
    </x:border>
    <x:border>
      <x:left style="thin">
        <x:color rgb="FFD6DEE5"/>
      </x:left>
      <x:bottom style="thin">
        <x:color rgb="FFD6DEE5"/>
      </x:bottom>
    </x:border>
    <x:border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left style="thin">
        <x:color rgb="FFD6DEE5"/>
      </x:left>
      <x:top style="thin">
        <x:color rgb="FFD6DEE5"/>
      </x:top>
      <x:bottom style="thin">
        <x:color rgb="FFD6DEE5"/>
      </x:bottom>
    </x:border>
    <x:border>
      <x:right style="thin">
        <x:color rgb="FFD6DEE5"/>
      </x:right>
      <x:top style="thin">
        <x:color rgb="FFD6DEE5"/>
      </x:top>
    </x:border>
    <x:border>
      <x:left style="thin">
        <x:color rgb="FFD6DEE5"/>
      </x:left>
      <x:top style="thin">
        <x:color rgb="FFD6DEE5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8" fillId="0" borderId="3" xfId="0" applyNumberFormat="1" applyFont="1" applyFill="1" applyBorder="1" applyAlignment="1">
      <x:alignment vertical="center"/>
    </x:xf>
    <x:xf numFmtId="0" fontId="8" fillId="0" borderId="5" xfId="0" applyNumberFormat="1" applyFont="1" applyFill="1" applyBorder="1" applyAlignment="1">
      <x:alignment vertical="center"/>
    </x:xf>
    <x:xf numFmtId="0" fontId="8" fillId="0" borderId="7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b/>
        <x:color rgb="FF9B1C1C"/>
      </x:font>
      <x:fill>
        <x:patternFill patternType="solid">
          <x:bgColor rgb="FFFDE2E1"/>
        </x:patternFill>
      </x:fill>
    </x:dxf>
    <x:dxf>
      <x:font>
        <x:color rgb="FF7A4E00"/>
      </x:font>
      <x:fill>
        <x:patternFill patternType="solid">
          <x:bgColor rgb="FFFFF1CC"/>
        </x:patternFill>
      </x:fill>
    </x:dxf>
    <x:dxf>
      <x:font>
        <x:color rgb="FF1E6335"/>
      </x:font>
      <x:fill>
        <x:patternFill patternType="solid">
          <x:bgColor rgb="FFE3F3E8"/>
        </x:patternFill>
      </x:fill>
    </x:dxf>
    <x:dxf>
      <x:font>
        <x:b/>
        <x:color rgb="FF9B1C1C"/>
      </x:font>
      <x:fill>
        <x:patternFill patternType="solid">
          <x:bgColor rgb="FFFDE2E1"/>
        </x:patternFill>
      </x:fill>
    </x:dxf>
    <x:dxf>
      <x:font>
        <x:color rgb="FF7A4E00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7bb383b1884c47" /><Relationship Type="http://schemas.openxmlformats.org/officeDocument/2006/relationships/theme" Target="/xl/theme/theme1.xml" Id="Rbb7c42bf0f2c4cc6" /><Relationship Type="http://schemas.openxmlformats.org/officeDocument/2006/relationships/sharedStrings" Target="/xl/sharedStrings.xml" Id="R3a844e9aaf154a90" /><Relationship Type="http://schemas.openxmlformats.org/officeDocument/2006/relationships/worksheet" Target="/xl/worksheets/sheet1.xml" Id="R1f5c4beb1c324797" /><Relationship Type="http://schemas.openxmlformats.org/officeDocument/2006/relationships/worksheet" Target="/xl/worksheets/sheet2.xml" Id="Rfb2e95e954b6411f" /><Relationship Type="http://schemas.openxmlformats.org/officeDocument/2006/relationships/worksheet" Target="/xl/worksheets/sheet3.xml" Id="Rae03468774aa476d" /><Relationship Type="http://schemas.openxmlformats.org/officeDocument/2006/relationships/worksheet" Target="/xl/worksheets/sheet4.xml" Id="R21ec65b30c244ca6" /></Relationships>
</file>

<file path=xl/tables/table1.xml><?xml version="1.0" encoding="utf-8"?>
<x:table xmlns:x="http://schemas.openxmlformats.org/spreadsheetml/2006/main" id="1" name="AuditoriaBibliometrica" displayName="AuditoriaBibliometrica" ref="A6:R54" headerRowCount="1" totalsRowCount="0" totalsRowShown="0">
  <x:tableColumns count="18">
    <x:tableColumn id="1" name="ID"/>
    <x:tableColumn id="2" name="Referencia en Rev67"/>
    <x:tableColumn id="3" name="Autor base"/>
    <x:tableColumn id="4" name="DOI"/>
    <x:tableColumn id="5" name="Año"/>
    <x:tableColumn id="6" name="Actualidad"/>
    <x:tableColumn id="7" name="Mencionada"/>
    <x:tableColumn id="8" name="Páginas de cita"/>
    <x:tableColumn id="9" name="Validación externa"/>
    <x:tableColumn id="10" name="Incidencias detectadas"/>
    <x:tableColumn id="11" name="Dictamen final"/>
    <x:tableColumn id="12" name="Acción recomendada"/>
    <x:tableColumn id="13" name="Calidad de fuente"/>
    <x:tableColumn id="14" name="Título externo"/>
    <x:tableColumn id="15" name="Autor externo"/>
    <x:tableColumn id="16" name="Año externo"/>
    <x:tableColumn id="17" name="Editorial / revista"/>
    <x:tableColumn id="18" name="URL de verifica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allazgosBibliometricos" displayName="HallazgosBibliometricos" ref="A5:G11" headerRowCount="1" totalsRowCount="0" totalsRowShown="0">
  <x:tableColumns count="7">
    <x:tableColumn id="1" name="Prioridad"/>
    <x:tableColumn id="2" name="Tipo"/>
    <x:tableColumn id="3" name="Referencia / cita"/>
    <x:tableColumn id="4" name="Páginas"/>
    <x:tableColumn id="5" name="Evidencia"/>
    <x:tableColumn id="6" name="Acción concreta"/>
    <x:tableColumn id="7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a562455ef647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bcc703554c43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3" hidden="0" customWidth="1"/>
    <x:col min="4" max="4" width="8" hidden="0" customWidth="1"/>
    <x:col min="5" max="5" width="16" hidden="0" customWidth="1"/>
    <x:col min="6" max="6" width="24" hidden="0" customWidth="1"/>
    <x:col min="7" max="7" width="24" hidden="0" customWidth="1"/>
    <x:col min="8" max="8" width="24" hidden="0" customWidth="1"/>
    <x:col min="9" max="9" width="18" hidden="0" customWidth="1"/>
    <x:col min="10" max="10" width="18" hidden="0" customWidth="1"/>
  </x:cols>
  <x:sheetData>
    <x:row r="1" ht="21" customHeight="1"/>
    <x:row r="2" ht="21" customHeight="1">
      <x:c r="A2" s="6" t="str">
        <x:v>Auditoría bibliométrica final — Tesis Rev67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 ht="21" customHeight="1">
      <x:c r="A3" s="8" t="str">
        <x:v>Corte: 28 de octubre de 2026. Correspondencia interna y validación externa de metadatos.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4" ht="21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5" ht="21" customHeight="1">
      <x:c r="A5" s="10"/>
      <x:c r="B5" s="10"/>
      <x:c r="C5" s="10"/>
      <x:c r="D5" s="10"/>
      <x:c r="E5" s="10"/>
      <x:c r="F5" s="10"/>
      <x:c r="G5" s="10"/>
      <x:c r="H5" s="10"/>
      <x:c r="I5" s="10"/>
      <x:c r="J5" s="10"/>
    </x:row>
    <x:row r="6" ht="21" customHeight="1">
      <x:c r="A6" s="14" t="str">
        <x:v>Indicador</x:v>
      </x:c>
      <x:c r="B6" s="14" t="str">
        <x:v>Resultado</x:v>
      </x:c>
      <x:c r="C6" s="10"/>
      <x:c r="D6" s="15" t="str">
        <x:v>Conclusión ejecutiva</x:v>
      </x:c>
      <x:c r="E6" s="15"/>
      <x:c r="F6" s="15"/>
      <x:c r="G6" s="15"/>
      <x:c r="H6" s="15"/>
      <x:c r="I6" s="15"/>
      <x:c r="J6" s="15"/>
    </x:row>
    <x:row r="7" ht="28" customHeight="1">
      <x:c r="A7" s="20" t="str">
        <x:v>Referencias en la lista</x:v>
      </x:c>
      <x:c r="B7" s="26" t="n">
        <x:f>COUNTA('Auditoría completa'!A7:A54)</x:f>
        <x:v>48</x:v>
      </x:c>
      <x:c r="C7" s="10"/>
      <x:c r="D7" s="19" t="str">
        <x:v>La correspondencia interna está completa: las 48 referencias de la bibliografía tienen al menos una mención localizable en la Rev67. Sin embargo, la bibliografía todavía no puede calificarse como totalmente correcta: cuatro registros requieren corrección y siete requieren verificación manual. Además, las citas Makridakis et al. (2018) deben desambiguarse como 2018a o 2018b según la obra realmente utilizada.</x:v>
      </x:c>
      <x:c r="E7" s="19"/>
      <x:c r="F7" s="19"/>
      <x:c r="G7" s="19"/>
      <x:c r="H7" s="19"/>
      <x:c r="I7" s="19"/>
      <x:c r="J7" s="19"/>
    </x:row>
    <x:row r="8" ht="28" customHeight="1">
      <x:c r="A8" s="22" t="str">
        <x:v>Referencias citadas en el texto</x:v>
      </x:c>
      <x:c r="B8" s="27" t="n">
        <x:f>COUNTIF('Auditoría completa'!G7:G54,"Citada")</x:f>
        <x:v>48</x:v>
      </x:c>
      <x:c r="C8" s="10"/>
      <x:c r="D8" s="19"/>
      <x:c r="E8" s="19"/>
      <x:c r="F8" s="19"/>
      <x:c r="G8" s="19"/>
      <x:c r="H8" s="19"/>
      <x:c r="I8" s="19"/>
      <x:c r="J8" s="19"/>
    </x:row>
    <x:row r="9" ht="28" customHeight="1">
      <x:c r="A9" s="22" t="str">
        <x:v>Referencias no citadas</x:v>
      </x:c>
      <x:c r="B9" s="27" t="n">
        <x:f>B7-B8</x:f>
        <x:v>0</x:v>
      </x:c>
      <x:c r="C9" s="10"/>
      <x:c r="D9" s="19"/>
      <x:c r="E9" s="19"/>
      <x:c r="F9" s="19"/>
      <x:c r="G9" s="19"/>
      <x:c r="H9" s="19"/>
      <x:c r="I9" s="19"/>
      <x:c r="J9" s="19"/>
    </x:row>
    <x:row r="10" ht="28" customHeight="1">
      <x:c r="A10" s="22" t="str">
        <x:v>Correctas según metadatos</x:v>
      </x:c>
      <x:c r="B10" s="27" t="n">
        <x:f>COUNTIF('Auditoría completa'!K7:K54,"Correcta según metadatos")</x:f>
        <x:v>37</x:v>
      </x:c>
      <x:c r="C10" s="10"/>
      <x:c r="D10" s="19"/>
      <x:c r="E10" s="19"/>
      <x:c r="F10" s="19"/>
      <x:c r="G10" s="19"/>
      <x:c r="H10" s="19"/>
      <x:c r="I10" s="19"/>
      <x:c r="J10" s="19"/>
    </x:row>
    <x:row r="11" ht="21" customHeight="1">
      <x:c r="A11" s="22" t="str">
        <x:v>Correcciones necesarias</x:v>
      </x:c>
      <x:c r="B11" s="27" t="n">
        <x:f>COUNTIF('Auditoría completa'!K7:K54,"Corrección necesaria")</x:f>
        <x:v>4</x:v>
      </x:c>
      <x:c r="C11" s="10"/>
      <x:c r="D11" s="10"/>
      <x:c r="E11" s="10"/>
      <x:c r="F11" s="10"/>
      <x:c r="G11" s="10"/>
      <x:c r="H11" s="10"/>
      <x:c r="I11" s="10"/>
      <x:c r="J11" s="10"/>
    </x:row>
    <x:row r="12" ht="21" customHeight="1">
      <x:c r="A12" s="22" t="str">
        <x:v>Revisión manual necesaria</x:v>
      </x:c>
      <x:c r="B12" s="27" t="n">
        <x:f>COUNTIF('Auditoría completa'!K7:K54,"Verificación manual necesaria")</x:f>
        <x:v>7</x:v>
      </x:c>
      <x:c r="C12" s="10"/>
      <x:c r="D12" s="13" t="str">
        <x:v>Prioridades antes de declarar cierre bibliográfico</x:v>
      </x:c>
      <x:c r="E12" s="13"/>
      <x:c r="F12" s="13"/>
      <x:c r="G12" s="13"/>
      <x:c r="H12" s="13"/>
      <x:c r="I12" s="13"/>
      <x:c r="J12" s="13"/>
    </x:row>
    <x:row r="13" ht="21" customHeight="1">
      <x:c r="A13" s="22" t="str">
        <x:v>Con DOI</x:v>
      </x:c>
      <x:c r="B13" s="27" t="n">
        <x:v>42</x:v>
      </x:c>
      <x:c r="C13" s="10"/>
      <x:c r="D13" s="30" t="str">
        <x:v>1</x:v>
      </x:c>
      <x:c r="E13" s="29" t="str">
        <x:v>REF-38</x:v>
      </x:c>
      <x:c r="F13" s="29" t="str">
        <x:v>DOI asignado a otro artículo; revalidar fuente completa.</x:v>
      </x:c>
      <x:c r="G13" s="29" t="str">
        <x:v>Alta</x:v>
      </x:c>
      <x:c r="H13" s="29" t="str">
        <x:v>Págs. 14 y 16</x:v>
      </x:c>
      <x:c r="I13" s="29" t="str"/>
      <x:c r="J13" s="29" t="str"/>
    </x:row>
    <x:row r="14" ht="21" customHeight="1">
      <x:c r="A14" s="24" t="str">
        <x:v>Sin DOI</x:v>
      </x:c>
      <x:c r="B14" s="28" t="n">
        <x:f>B7-B13</x:f>
        <x:v>6</x:v>
      </x:c>
      <x:c r="C14" s="10"/>
      <x:c r="D14" s="30" t="str">
        <x:v>2</x:v>
      </x:c>
      <x:c r="E14" s="29" t="str">
        <x:v>REF-40</x:v>
      </x:c>
      <x:c r="F14" s="29" t="str">
        <x:v>DOI asignado a otro artículo; revalidar fuente completa.</x:v>
      </x:c>
      <x:c r="G14" s="29" t="str">
        <x:v>Alta</x:v>
      </x:c>
      <x:c r="H14" s="29" t="str">
        <x:v>Págs. 2, 7, 10 y 15</x:v>
      </x:c>
      <x:c r="I14" s="29" t="str"/>
      <x:c r="J14" s="29" t="str"/>
    </x:row>
    <x:row r="15" ht="21" customHeight="1">
      <x:c r="A15" s="10"/>
      <x:c r="B15" s="10"/>
      <x:c r="C15" s="10"/>
      <x:c r="D15" s="30" t="str">
        <x:v>3</x:v>
      </x:c>
      <x:c r="E15" s="29" t="str">
        <x:v>REF-04</x:v>
      </x:c>
      <x:c r="F15" s="29" t="str">
        <x:v>Primer autor incorrecto; corregir referencia y citas.</x:v>
      </x:c>
      <x:c r="G15" s="29" t="str">
        <x:v>Alta</x:v>
      </x:c>
      <x:c r="H15" s="29" t="str">
        <x:v>Págs. 12 y 16</x:v>
      </x:c>
      <x:c r="I15" s="29" t="str"/>
      <x:c r="J15" s="29" t="str"/>
    </x:row>
    <x:row r="16" ht="21" customHeight="1">
      <x:c r="A16" s="10"/>
      <x:c r="B16" s="10"/>
      <x:c r="C16" s="10"/>
      <x:c r="D16" s="30" t="str">
        <x:v>4</x:v>
      </x:c>
      <x:c r="E16" s="29" t="str">
        <x:v>REF-10</x:v>
      </x:c>
      <x:c r="F16" s="29" t="str">
        <x:v>Diferencia de año 2021/2020; confirmar y homologar.</x:v>
      </x:c>
      <x:c r="G16" s="29" t="str">
        <x:v>Media</x:v>
      </x:c>
      <x:c r="H16" s="29" t="str">
        <x:v>Págs. 3, 12, 13 y 16</x:v>
      </x:c>
      <x:c r="I16" s="29" t="str"/>
      <x:c r="J16" s="29" t="str"/>
    </x:row>
    <x:row r="17" ht="21" customHeight="1">
      <x:c r="A17" s="10"/>
      <x:c r="B17" s="10"/>
      <x:c r="C17" s="10"/>
      <x:c r="D17" s="30" t="str">
        <x:v>5</x:v>
      </x:c>
      <x:c r="E17" s="29" t="str">
        <x:v>Makridakis 2018</x:v>
      </x:c>
      <x:c r="F17" s="29" t="str">
        <x:v>Agregar sufijo a/b en citas ambiguas.</x:v>
      </x:c>
      <x:c r="G17" s="29" t="str">
        <x:v>Media</x:v>
      </x:c>
      <x:c r="H17" s="29" t="str">
        <x:v>Págs. 3, 8, 27 y 79</x:v>
      </x:c>
      <x:c r="I17" s="29" t="str"/>
      <x:c r="J17" s="29" t="str"/>
    </x:row>
    <x:row r="18" ht="21" customHeight="1"/>
  </x:sheetData>
  <x:mergeCells>
    <x:mergeCell ref="A2:J2"/>
    <x:mergeCell ref="A3:J3"/>
    <x:mergeCell ref="D6:J6"/>
    <x:mergeCell ref="D7:J10"/>
    <x:mergeCell ref="D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0" hidden="0" customWidth="1"/>
    <x:col min="2" max="2" width="66" hidden="0" customWidth="1"/>
    <x:col min="3" max="3" width="20" hidden="0" customWidth="1"/>
    <x:col min="4" max="4" width="32" hidden="0" customWidth="1"/>
    <x:col min="5" max="5" width="9" hidden="0" customWidth="1"/>
    <x:col min="6" max="6" width="25" hidden="0" customWidth="1"/>
    <x:col min="7" max="7" width="12" hidden="0" customWidth="1"/>
    <x:col min="8" max="8" width="18" hidden="0" customWidth="1"/>
    <x:col min="9" max="9" width="26" hidden="0" customWidth="1"/>
    <x:col min="10" max="10" width="40" hidden="0" customWidth="1"/>
    <x:col min="11" max="11" width="25" hidden="0" customWidth="1"/>
    <x:col min="12" max="12" width="52" hidden="0" customWidth="1"/>
    <x:col min="13" max="13" width="28" hidden="0" customWidth="1"/>
    <x:col min="14" max="14" width="48" hidden="0" customWidth="1"/>
    <x:col min="15" max="15" width="22" hidden="0" customWidth="1"/>
    <x:col min="16" max="16" width="22" hidden="0" customWidth="1"/>
    <x:col min="17" max="17" width="22" hidden="0" customWidth="1"/>
    <x:col min="18" max="18" width="45" hidden="0" customWidth="1"/>
  </x:cols>
  <x:sheetData>
    <x:row r="1">
      <x:c r="A1" s="32" t="str">
        <x:v>Auditoría bibliométrica final — detalle por referencia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</x:row>
    <x:row r="2">
      <x:c r="A2" s="33" t="str">
        <x:v>Páginas reportadas según numeración impresa del cuerpo de la tesis. Referencias: inicio en la página impresa 86.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</x:row>
    <x:row r="5">
      <x:c r="A5" s="10"/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</x:row>
    <x:row r="6">
      <x:c r="A6" s="36" t="str">
        <x:v>ID</x:v>
      </x:c>
      <x:c r="B6" s="36" t="str">
        <x:v>Referencia en Rev67</x:v>
      </x:c>
      <x:c r="C6" s="36" t="str">
        <x:v>Autor base</x:v>
      </x:c>
      <x:c r="D6" s="36" t="str">
        <x:v>DOI</x:v>
      </x:c>
      <x:c r="E6" s="36" t="str">
        <x:v>Año</x:v>
      </x:c>
      <x:c r="F6" s="36" t="str">
        <x:v>Actualidad</x:v>
      </x:c>
      <x:c r="G6" s="36" t="str">
        <x:v>Mencionada</x:v>
      </x:c>
      <x:c r="H6" s="36" t="str">
        <x:v>Páginas de cita</x:v>
      </x:c>
      <x:c r="I6" s="36" t="str">
        <x:v>Validación externa</x:v>
      </x:c>
      <x:c r="J6" s="36" t="str">
        <x:v>Incidencias detectadas</x:v>
      </x:c>
      <x:c r="K6" s="36" t="str">
        <x:v>Dictamen final</x:v>
      </x:c>
      <x:c r="L6" s="36" t="str">
        <x:v>Acción recomendada</x:v>
      </x:c>
      <x:c r="M6" s="36" t="str">
        <x:v>Calidad de fuente</x:v>
      </x:c>
      <x:c r="N6" s="36" t="str">
        <x:v>Título externo</x:v>
      </x:c>
      <x:c r="O6" s="36" t="str">
        <x:v>Autor externo</x:v>
      </x:c>
      <x:c r="P6" s="36" t="str">
        <x:v>Año externo</x:v>
      </x:c>
      <x:c r="Q6" s="36" t="str">
        <x:v>Editorial / revista</x:v>
      </x:c>
      <x:c r="R6" s="36" t="str">
        <x:v>URL de verificación</x:v>
      </x:c>
    </x:row>
    <x:row r="7">
      <x:c r="A7" s="37" t="str">
        <x:v>REF-01</x:v>
      </x:c>
      <x:c r="B7" s="38" t="str">
        <x:v>Abrar, M., Shahriar, M. A., &amp; Amin, A. (2024). MCDFN: Supply chain demand forecasting via an explainable multi-channel data fusion network model. arXiv preprint arXiv:2405.15598. https://doi.org/10.48550/arXiv.2405.15598</x:v>
      </x:c>
      <x:c r="C7" s="37" t="str">
        <x:v>Abrar</x:v>
      </x:c>
      <x:c r="D7" s="37" t="str">
        <x:v>10.48550/arXiv.2405.15598</x:v>
      </x:c>
      <x:c r="E7" s="37" t="n">
        <x:v>2024</x:v>
      </x:c>
      <x:c r="F7" s="37" t="str">
        <x:v>Reciente (2021–2026)</x:v>
      </x:c>
      <x:c r="G7" s="37" t="str">
        <x:v>Citada</x:v>
      </x:c>
      <x:c r="H7" s="37" t="str">
        <x:v>10, 15, 18</x:v>
      </x:c>
      <x:c r="I7" s="37" t="str">
        <x:v>DOI no verificado</x:v>
      </x:c>
      <x:c r="J7" s="38" t="str">
        <x:v>HTTP Error 404: Not Found</x:v>
      </x:c>
      <x:c r="K7" s="38" t="str">
        <x:v>Verificación manual necesaria</x:v>
      </x:c>
      <x:c r="L7" s="38" t="str">
        <x:v>Comprobar el registro arXiv/DataCite. El 404 de Crossref no invalida un DOI de arXiv.</x:v>
      </x:c>
      <x:c r="M7" s="38" t="str">
        <x:v>Media (preprint)</x:v>
      </x:c>
      <x:c r="N7" s="38" t="str"/>
      <x:c r="O7" s="38" t="str"/>
      <x:c r="P7" s="38" t="str"/>
      <x:c r="Q7" s="38" t="str"/>
      <x:c r="R7" s="38" t="str">
        <x:v>https://arxiv.org/abs/2405.15598</x:v>
      </x:c>
    </x:row>
    <x:row r="8">
      <x:c r="A8" s="37" t="str">
        <x:v>REF-02</x:v>
      </x:c>
      <x:c r="B8" s="38" t="str">
        <x:v>Aitchison, J. (1982). The statistical analysis of compositional data. Journal of the Royal Statistical Society: Series B (Methodological), 44(2), 139–160. https://doi.org/10.1111/j.2517-6161.1982.tb01195.x</x:v>
      </x:c>
      <x:c r="C8" s="37" t="str">
        <x:v>Aitchison</x:v>
      </x:c>
      <x:c r="D8" s="37" t="str">
        <x:v>10.1111/j.2517-6161.1982.tb01195.x</x:v>
      </x:c>
      <x:c r="E8" s="37" t="n">
        <x:v>1982</x:v>
      </x:c>
      <x:c r="F8" s="37" t="str">
        <x:v>Clásica o fundacional (≤2020)</x:v>
      </x:c>
      <x:c r="G8" s="37" t="str">
        <x:v>Citada</x:v>
      </x:c>
      <x:c r="H8" s="37" t="str">
        <x:v>27, 28, 29, 33, 35</x:v>
      </x:c>
      <x:c r="I8" s="37" t="str">
        <x:v>Verificada con Crossref</x:v>
      </x:c>
      <x:c r="J8" s="38" t="str"/>
      <x:c r="K8" s="38" t="str">
        <x:v>Correcta según metadatos</x:v>
      </x:c>
      <x:c r="L8" s="38" t="str">
        <x:v>Sin ajuste bibliográfico identificado por la validación automatizada.</x:v>
      </x:c>
      <x:c r="M8" s="38" t="str">
        <x:v>Alta</x:v>
      </x:c>
      <x:c r="N8" s="38" t="str">
        <x:v>The Statistical Analysis of Compositional Data</x:v>
      </x:c>
      <x:c r="O8" s="38" t="str">
        <x:v>Aitchison</x:v>
      </x:c>
      <x:c r="P8" s="38" t="n">
        <x:v>1982</x:v>
      </x:c>
      <x:c r="Q8" s="38" t="str">
        <x:v>Journal of the Royal Statistical Society Series B: Statistical Methodology / Oxford University Press (OUP)</x:v>
      </x:c>
      <x:c r="R8" s="38" t="str">
        <x:v>https://doi.org/10.1111/j.2517-6161.1982.tb01195.x</x:v>
      </x:c>
    </x:row>
    <x:row r="9">
      <x:c r="A9" s="37" t="str">
        <x:v>REF-03</x:v>
      </x:c>
      <x:c r="B9" s="38" t="str">
        <x:v>Bates, J. M., &amp; Granger, C. W. J. (1969). The combination of forecasts. Operational Research Quarterly, 20(4), 451–468. https://doi.org/10.2307/3008764</x:v>
      </x:c>
      <x:c r="C9" s="37" t="str">
        <x:v>Bates</x:v>
      </x:c>
      <x:c r="D9" s="37" t="str">
        <x:v>10.2307/3008764</x:v>
      </x:c>
      <x:c r="E9" s="37" t="n">
        <x:v>1969</x:v>
      </x:c>
      <x:c r="F9" s="37" t="str">
        <x:v>Clásica o fundacional (≤2020)</x:v>
      </x:c>
      <x:c r="G9" s="37" t="str">
        <x:v>Citada</x:v>
      </x:c>
      <x:c r="H9" s="37" t="str">
        <x:v>26, 78</x:v>
      </x:c>
      <x:c r="I9" s="37" t="str">
        <x:v>Verificada con Crossref</x:v>
      </x:c>
      <x:c r="J9" s="38" t="str"/>
      <x:c r="K9" s="38" t="str">
        <x:v>Correcta según metadatos</x:v>
      </x:c>
      <x:c r="L9" s="38" t="str">
        <x:v>Sin ajuste bibliográfico identificado por la validación automatizada.</x:v>
      </x:c>
      <x:c r="M9" s="38" t="str">
        <x:v>Alta</x:v>
      </x:c>
      <x:c r="N9" s="38" t="str">
        <x:v>The Combination of Forecasts</x:v>
      </x:c>
      <x:c r="O9" s="38" t="str">
        <x:v>Bates</x:v>
      </x:c>
      <x:c r="P9" s="38" t="n">
        <x:v>1969</x:v>
      </x:c>
      <x:c r="Q9" s="38" t="str">
        <x:v>OR / JSTOR</x:v>
      </x:c>
      <x:c r="R9" s="38" t="str">
        <x:v>https://doi.org/10.2307/3008764</x:v>
      </x:c>
    </x:row>
    <x:row r="10">
      <x:c r="A10" s="37" t="str">
        <x:v>REF-04</x:v>
      </x:c>
      <x:c r="B10" s="38" t="str">
        <x:v>Ben Abdallah, H., Ayadi, M., &amp; Boujelbene, Y. (2022). The main determinants and effects of product innovation: An exploratory study on the pastry companies of the region of Sfax (in Tunisia). Technological Forecasting and Social Change, 185, Article 122065. https://doi.org/10.1016/j.techfore.2022.122065</x:v>
      </x:c>
      <x:c r="C10" s="37" t="str">
        <x:v>Ben Abdallah</x:v>
      </x:c>
      <x:c r="D10" s="37" t="str">
        <x:v>10.1016/j.techfore.2022.122065</x:v>
      </x:c>
      <x:c r="E10" s="37" t="n">
        <x:v>2022</x:v>
      </x:c>
      <x:c r="F10" s="37" t="str">
        <x:v>Reciente (2021–2026)</x:v>
      </x:c>
      <x:c r="G10" s="37" t="str">
        <x:v>Citada</x:v>
      </x:c>
      <x:c r="H10" s="37" t="str">
        <x:v>12, 16</x:v>
      </x:c>
      <x:c r="I10" s="37" t="str">
        <x:v>Corrección necesaria</x:v>
      </x:c>
      <x:c r="J10" s="38" t="str">
        <x:v>Primer autor difiere de Crossref: Omrane</x:v>
      </x:c>
      <x:c r="K10" s="38" t="str">
        <x:v>Corrección necesaria</x:v>
      </x:c>
      <x:c r="L10" s="38" t="str">
        <x:v>Cambiar el primer autor a Omrane en la referencia y sustituir Ben Abdallah et al. (2022) en las páginas 12 y 16.</x:v>
      </x:c>
      <x:c r="M10" s="38" t="str">
        <x:v>Muy alta</x:v>
      </x:c>
      <x:c r="N10" s="38" t="str">
        <x:v>The main determinants and effects of product innovation: An exploratory study on the pastry companies of the region of Sfax (in Tunisia)</x:v>
      </x:c>
      <x:c r="O10" s="38" t="str">
        <x:v>Omrane</x:v>
      </x:c>
      <x:c r="P10" s="38" t="n">
        <x:v>2022</x:v>
      </x:c>
      <x:c r="Q10" s="38" t="str">
        <x:v>Technological Forecasting and Social Change / Elsevier BV</x:v>
      </x:c>
      <x:c r="R10" s="38" t="str">
        <x:v>https://doi.org/10.1016/j.techfore.2022.122065</x:v>
      </x:c>
    </x:row>
    <x:row r="11">
      <x:c r="A11" s="37" t="str">
        <x:v>REF-05</x:v>
      </x:c>
      <x:c r="B11" s="38" t="str">
        <x:v>Bergmeir, C., &amp; Benítez, J. M. (2012). On the use of cross-validation for time series predictor evaluation. Information Sciences, 191, 192-213. https://doi.org/10.1016/j.ins.2011.12.028</x:v>
      </x:c>
      <x:c r="C11" s="37" t="str">
        <x:v>Bergmeir</x:v>
      </x:c>
      <x:c r="D11" s="37" t="str">
        <x:v>10.1016/j.ins.2011.12.028</x:v>
      </x:c>
      <x:c r="E11" s="37" t="n">
        <x:v>2012</x:v>
      </x:c>
      <x:c r="F11" s="37" t="str">
        <x:v>Clásica o fundacional (≤2020)</x:v>
      </x:c>
      <x:c r="G11" s="37" t="str">
        <x:v>Citada</x:v>
      </x:c>
      <x:c r="H11" s="37" t="str">
        <x:v>11, 23</x:v>
      </x:c>
      <x:c r="I11" s="37" t="str">
        <x:v>Verificada con Crossref</x:v>
      </x:c>
      <x:c r="J11" s="38" t="str"/>
      <x:c r="K11" s="38" t="str">
        <x:v>Correcta según metadatos</x:v>
      </x:c>
      <x:c r="L11" s="38" t="str">
        <x:v>Sin ajuste bibliográfico identificado por la validación automatizada.</x:v>
      </x:c>
      <x:c r="M11" s="38" t="str">
        <x:v>Muy alta</x:v>
      </x:c>
      <x:c r="N11" s="38" t="str">
        <x:v>On the use of cross-validation for time series predictor evaluation</x:v>
      </x:c>
      <x:c r="O11" s="38" t="str">
        <x:v>Bergmeir</x:v>
      </x:c>
      <x:c r="P11" s="38" t="n">
        <x:v>2012</x:v>
      </x:c>
      <x:c r="Q11" s="38" t="str">
        <x:v>Information Sciences / Elsevier BV</x:v>
      </x:c>
      <x:c r="R11" s="38" t="str">
        <x:v>https://doi.org/10.1016/j.ins.2011.12.028</x:v>
      </x:c>
    </x:row>
    <x:row r="12">
      <x:c r="A12" s="37" t="str">
        <x:v>REF-06</x:v>
      </x:c>
      <x:c r="B12" s="38" t="str">
        <x:v>Bontempi, G., Ben Taieb, S., &amp; Le Borgne, Y.-A. (2013). Machine learning strategies for time series forecasting. En M. Aufaure &amp; E. Zimányi (Eds.), Business intelligence (pp. 62–77). Springer. https://doi.org/10.1007/978-3-642-36318-4_3</x:v>
      </x:c>
      <x:c r="C12" s="37" t="str">
        <x:v>Bontempi</x:v>
      </x:c>
      <x:c r="D12" s="37" t="str">
        <x:v>10.1007/978-3-642-36318-4_3</x:v>
      </x:c>
      <x:c r="E12" s="37" t="n">
        <x:v>2013</x:v>
      </x:c>
      <x:c r="F12" s="37" t="str">
        <x:v>Clásica o fundacional (≤2020)</x:v>
      </x:c>
      <x:c r="G12" s="37" t="str">
        <x:v>Citada</x:v>
      </x:c>
      <x:c r="H12" s="37" t="str">
        <x:v>25</x:v>
      </x:c>
      <x:c r="I12" s="37" t="str">
        <x:v>Verificada con Crossref</x:v>
      </x:c>
      <x:c r="J12" s="38" t="str"/>
      <x:c r="K12" s="38" t="str">
        <x:v>Correcta según metadatos</x:v>
      </x:c>
      <x:c r="L12" s="38" t="str">
        <x:v>Sin ajuste bibliográfico identificado por la validación automatizada.</x:v>
      </x:c>
      <x:c r="M12" s="38" t="str">
        <x:v>Muy alta</x:v>
      </x:c>
      <x:c r="N12" s="38" t="str">
        <x:v>Machine Learning Strategies for Time Series Forecasting</x:v>
      </x:c>
      <x:c r="O12" s="38" t="str">
        <x:v>Bontempi</x:v>
      </x:c>
      <x:c r="P12" s="38" t="n">
        <x:v>2013</x:v>
      </x:c>
      <x:c r="Q12" s="38" t="str">
        <x:v>Lecture Notes in Business Information Processing / Springer Berlin Heidelberg</x:v>
      </x:c>
      <x:c r="R12" s="38" t="str">
        <x:v>https://doi.org/10.1007/978-3-642-36318-4_3</x:v>
      </x:c>
    </x:row>
    <x:row r="13">
      <x:c r="A13" s="37" t="str">
        <x:v>REF-07</x:v>
      </x:c>
      <x:c r="B13" s="38" t="str">
        <x:v>Borsato, M. (2023). “Edible Aesthetics”: Blurring Boundaries between Pastry and Art. Humanities, 12(5), 126. https://doi.org/10.3390/h12050126</x:v>
      </x:c>
      <x:c r="C13" s="37" t="str">
        <x:v>Borsato</x:v>
      </x:c>
      <x:c r="D13" s="37" t="str">
        <x:v>10.3390/h12050126</x:v>
      </x:c>
      <x:c r="E13" s="37" t="n">
        <x:v>2023</x:v>
      </x:c>
      <x:c r="F13" s="37" t="str">
        <x:v>Reciente (2021–2026)</x:v>
      </x:c>
      <x:c r="G13" s="37" t="str">
        <x:v>Citada</x:v>
      </x:c>
      <x:c r="H13" s="37" t="str">
        <x:v>11, 15</x:v>
      </x:c>
      <x:c r="I13" s="37" t="str">
        <x:v>Verificada con Crossref</x:v>
      </x:c>
      <x:c r="J13" s="38" t="str"/>
      <x:c r="K13" s="38" t="str">
        <x:v>Correcta según metadatos</x:v>
      </x:c>
      <x:c r="L13" s="38" t="str">
        <x:v>Sin ajuste bibliográfico identificado por la validación automatizada.</x:v>
      </x:c>
      <x:c r="M13" s="38" t="str">
        <x:v>Alta</x:v>
      </x:c>
      <x:c r="N13" s="38" t="str">
        <x:v>“Edible Aesthetics”: Blurring Boundaries between Pastry and Art</x:v>
      </x:c>
      <x:c r="O13" s="38" t="str">
        <x:v>Borsato</x:v>
      </x:c>
      <x:c r="P13" s="38" t="n">
        <x:v>2023</x:v>
      </x:c>
      <x:c r="Q13" s="38" t="str">
        <x:v>Humanities / MDPI AG</x:v>
      </x:c>
      <x:c r="R13" s="38" t="str">
        <x:v>https://doi.org/10.3390/h12050126</x:v>
      </x:c>
    </x:row>
    <x:row r="14">
      <x:c r="A14" s="37" t="str">
        <x:v>REF-08</x:v>
      </x:c>
      <x:c r="B14" s="38" t="str">
        <x:v>Breiman, L. (2001). Random forests. Machine Learning, 45(1), 5–32. https://doi.org/10.1023/A:1010933404324</x:v>
      </x:c>
      <x:c r="C14" s="37" t="str">
        <x:v>Breiman</x:v>
      </x:c>
      <x:c r="D14" s="37" t="str">
        <x:v>10.1023/A:1010933404324</x:v>
      </x:c>
      <x:c r="E14" s="37" t="n">
        <x:v>2001</x:v>
      </x:c>
      <x:c r="F14" s="37" t="str">
        <x:v>Clásica o fundacional (≤2020)</x:v>
      </x:c>
      <x:c r="G14" s="37" t="str">
        <x:v>Citada</x:v>
      </x:c>
      <x:c r="H14" s="37" t="str">
        <x:v>25</x:v>
      </x:c>
      <x:c r="I14" s="37" t="str">
        <x:v>Verificada con Crossref</x:v>
      </x:c>
      <x:c r="J14" s="38" t="str"/>
      <x:c r="K14" s="38" t="str">
        <x:v>Correcta según metadatos</x:v>
      </x:c>
      <x:c r="L14" s="38" t="str">
        <x:v>Sin ajuste bibliográfico identificado por la validación automatizada.</x:v>
      </x:c>
      <x:c r="M14" s="38" t="str">
        <x:v>Muy alta</x:v>
      </x:c>
      <x:c r="N14" s="38" t="str">
        <x:v>Random Forests</x:v>
      </x:c>
      <x:c r="O14" s="38" t="str">
        <x:v>Breiman</x:v>
      </x:c>
      <x:c r="P14" s="38" t="n">
        <x:v>2001</x:v>
      </x:c>
      <x:c r="Q14" s="38" t="str">
        <x:v>Machine Learning / Springer Science and Business Media LLC</x:v>
      </x:c>
      <x:c r="R14" s="38" t="str">
        <x:v>https://doi.org/10.1023/a:1010933404324</x:v>
      </x:c>
    </x:row>
    <x:row r="15">
      <x:c r="A15" s="37" t="str">
        <x:v>REF-09</x:v>
      </x:c>
      <x:c r="B15" s="38" t="str">
        <x:v>Cuevas-Vargas, H., Estrada, S., &amp; Larios-Gómez, E. (2016). The effects of ICTs as innovation facilitators for a greater business performance. Evidence from Mexico. Procedia Computer Science, 91, 47–56. https://doi.org/10.1016/j.procs.2016.07.040</x:v>
      </x:c>
      <x:c r="C15" s="37" t="str">
        <x:v>Cuevas-Vargas</x:v>
      </x:c>
      <x:c r="D15" s="37" t="str">
        <x:v>10.1016/j.procs.2016.07.040</x:v>
      </x:c>
      <x:c r="E15" s="37" t="n">
        <x:v>2016</x:v>
      </x:c>
      <x:c r="F15" s="37" t="str">
        <x:v>Clásica o fundacional (≤2020)</x:v>
      </x:c>
      <x:c r="G15" s="37" t="str">
        <x:v>Citada</x:v>
      </x:c>
      <x:c r="H15" s="37" t="str">
        <x:v>14, 16</x:v>
      </x:c>
      <x:c r="I15" s="37" t="str">
        <x:v>Verificada con Crossref</x:v>
      </x:c>
      <x:c r="J15" s="38" t="str"/>
      <x:c r="K15" s="38" t="str">
        <x:v>Correcta según metadatos</x:v>
      </x:c>
      <x:c r="L15" s="38" t="str">
        <x:v>Sin ajuste bibliográfico identificado por la validación automatizada.</x:v>
      </x:c>
      <x:c r="M15" s="38" t="str">
        <x:v>Muy alta</x:v>
      </x:c>
      <x:c r="N15" s="38" t="str">
        <x:v>The Effects of ICTs As Innovation Facilitators for a Greater Business Performance. Evidence from Mexico</x:v>
      </x:c>
      <x:c r="O15" s="38" t="str">
        <x:v>Cuevas-Vargas</x:v>
      </x:c>
      <x:c r="P15" s="38" t="n">
        <x:v>2016</x:v>
      </x:c>
      <x:c r="Q15" s="38" t="str">
        <x:v>Procedia Computer Science / Elsevier BV</x:v>
      </x:c>
      <x:c r="R15" s="38" t="str">
        <x:v>https://doi.org/10.1016/j.procs.2016.07.040</x:v>
      </x:c>
    </x:row>
    <x:row r="16">
      <x:c r="A16" s="37" t="str">
        <x:v>REF-10</x:v>
      </x:c>
      <x:c r="B16" s="38" t="str">
        <x:v>Dubey, R., Gunasekaran, A., Childe, S. J., Bryde, D. J., Giannakis, M., &amp; Foropon, C. (2021). Big data analytics and artificial intelligence pathway to operational performance under the effects of entrepreneurial orientation and environmental dynamism: A study of manufacturing organisations. International Journal of Production Economics, 226, 107599. https://doi.org/10.1016/j.ijpe.2019.107599</x:v>
      </x:c>
      <x:c r="C16" s="37" t="str">
        <x:v>Dubey</x:v>
      </x:c>
      <x:c r="D16" s="37" t="str">
        <x:v>10.1016/j.ijpe.2019.107599</x:v>
      </x:c>
      <x:c r="E16" s="37" t="n">
        <x:v>2021</x:v>
      </x:c>
      <x:c r="F16" s="37" t="str">
        <x:v>Reciente (2021–2026)</x:v>
      </x:c>
      <x:c r="G16" s="37" t="str">
        <x:v>Citada</x:v>
      </x:c>
      <x:c r="H16" s="37" t="str">
        <x:v>3, 12, 13, 16</x:v>
      </x:c>
      <x:c r="I16" s="37" t="str">
        <x:v>Verificada con diferencia menor</x:v>
      </x:c>
      <x:c r="J16" s="38" t="str">
        <x:v>Año en tesis 2021; Crossref 2020</x:v>
      </x:c>
      <x:c r="K16" s="38" t="str">
        <x:v>Corrección necesaria</x:v>
      </x:c>
      <x:c r="L16" s="38" t="str">
        <x:v>Verificar la fecha editorial y, si se confirma el metadato del volumen 226, cambiar 2021 por 2020 en referencia y citas de las páginas 3, 12, 13 y 16.</x:v>
      </x:c>
      <x:c r="M16" s="38" t="str">
        <x:v>Muy alta</x:v>
      </x:c>
      <x:c r="N16" s="38" t="str">
        <x:v>Big data analytics and artificial intelligence pathway to operational performance under the effects of entrepreneurial orientation and environmental dynamism: A study of manufacturing organisations</x:v>
      </x:c>
      <x:c r="O16" s="38" t="str">
        <x:v>Dubey</x:v>
      </x:c>
      <x:c r="P16" s="38" t="n">
        <x:v>2020</x:v>
      </x:c>
      <x:c r="Q16" s="38" t="str">
        <x:v>International Journal of Production Economics / Elsevier BV</x:v>
      </x:c>
      <x:c r="R16" s="38" t="str">
        <x:v>https://doi.org/10.1016/j.ijpe.2019.107599</x:v>
      </x:c>
    </x:row>
    <x:row r="17">
      <x:c r="A17" s="37" t="str">
        <x:v>REF-11</x:v>
      </x:c>
      <x:c r="B17" s="38" t="str">
        <x:v>Friedman, J. H. (2001). Greedy function approximation: A gradient boosting machine. The Annals of Statistics, 29(5), 1189–1232. https://doi.org/10.1214/aos/1013203451</x:v>
      </x:c>
      <x:c r="C17" s="37" t="str">
        <x:v>Friedman</x:v>
      </x:c>
      <x:c r="D17" s="37" t="str">
        <x:v>10.1214/aos/1013203451</x:v>
      </x:c>
      <x:c r="E17" s="37" t="n">
        <x:v>2001</x:v>
      </x:c>
      <x:c r="F17" s="37" t="str">
        <x:v>Clásica o fundacional (≤2020)</x:v>
      </x:c>
      <x:c r="G17" s="37" t="str">
        <x:v>Citada</x:v>
      </x:c>
      <x:c r="H17" s="37" t="str">
        <x:v>25</x:v>
      </x:c>
      <x:c r="I17" s="37" t="str">
        <x:v>Verificada con Crossref</x:v>
      </x:c>
      <x:c r="J17" s="38" t="str"/>
      <x:c r="K17" s="38" t="str">
        <x:v>Correcta según metadatos</x:v>
      </x:c>
      <x:c r="L17" s="38" t="str">
        <x:v>Sin ajuste bibliográfico identificado por la validación automatizada.</x:v>
      </x:c>
      <x:c r="M17" s="38" t="str">
        <x:v>Alta</x:v>
      </x:c>
      <x:c r="N17" s="38" t="str">
        <x:v>Greedy function approximation: A gradient boosting machine.</x:v>
      </x:c>
      <x:c r="O17" s="38" t="str">
        <x:v>Friedman</x:v>
      </x:c>
      <x:c r="P17" s="38" t="n">
        <x:v>2001</x:v>
      </x:c>
      <x:c r="Q17" s="38" t="str">
        <x:v>The Annals of Statistics / Institute of Mathematical Statistics</x:v>
      </x:c>
      <x:c r="R17" s="38" t="str">
        <x:v>https://doi.org/10.1214/aos/1013203451</x:v>
      </x:c>
    </x:row>
    <x:row r="18">
      <x:c r="A18" s="37" t="str">
        <x:v>REF-12</x:v>
      </x:c>
      <x:c r="B18" s="38" t="str">
        <x:v>Giannopoulos, P. G., Dasaklis, T. K., Tsantilis, I., &amp; Patsakis, C. (2025). Machine learning algorithms in intermittent demand forecasting: A review. International Journal of Production Research, 1–43. https://doi.org/10.1080/00207543.2025.2578701</x:v>
      </x:c>
      <x:c r="C18" s="37" t="str">
        <x:v>Giannopoulos</x:v>
      </x:c>
      <x:c r="D18" s="37" t="str">
        <x:v>10.1080/00207543.2025.2578701</x:v>
      </x:c>
      <x:c r="E18" s="37" t="n">
        <x:v>2025</x:v>
      </x:c>
      <x:c r="F18" s="37" t="str">
        <x:v>Reciente (2021–2026)</x:v>
      </x:c>
      <x:c r="G18" s="37" t="str">
        <x:v>Citada</x:v>
      </x:c>
      <x:c r="H18" s="37" t="str">
        <x:v>7, 10, 15</x:v>
      </x:c>
      <x:c r="I18" s="37" t="str">
        <x:v>Verificada con Crossref</x:v>
      </x:c>
      <x:c r="J18" s="38" t="str"/>
      <x:c r="K18" s="38" t="str">
        <x:v>Correcta según metadatos</x:v>
      </x:c>
      <x:c r="L18" s="38" t="str">
        <x:v>Sin ajuste bibliográfico identificado por la validación automatizada.</x:v>
      </x:c>
      <x:c r="M18" s="38" t="str">
        <x:v>Alta</x:v>
      </x:c>
      <x:c r="N18" s="38" t="str">
        <x:v>Machine learning algorithms in intermittent demand forecasting: a review</x:v>
      </x:c>
      <x:c r="O18" s="38" t="str">
        <x:v>Giannopoulos</x:v>
      </x:c>
      <x:c r="P18" s="38" t="n">
        <x:v>2025</x:v>
      </x:c>
      <x:c r="Q18" s="38" t="str">
        <x:v>International Journal of Production Research / Informa UK Limited</x:v>
      </x:c>
      <x:c r="R18" s="38" t="str">
        <x:v>https://doi.org/10.1080/00207543.2025.2578701</x:v>
      </x:c>
    </x:row>
    <x:row r="19">
      <x:c r="A19" s="37" t="str">
        <x:v>REF-13</x:v>
      </x:c>
      <x:c r="B19" s="38" t="str">
        <x:v>Global Entrepreneurship Monitor. (2024). Global Entrepreneurship Monitor 2023/2024 global report: 25 years and growing. https://www.gemconsortium.org/report/51377</x:v>
      </x:c>
      <x:c r="C19" s="37" t="str">
        <x:v>Global Entrepreneurship Monitor</x:v>
      </x:c>
      <x:c r="D19" s="37" t="str"/>
      <x:c r="E19" s="37" t="n">
        <x:v>2024</x:v>
      </x:c>
      <x:c r="F19" s="37" t="str">
        <x:v>Reciente (2021–2026)</x:v>
      </x:c>
      <x:c r="G19" s="37" t="str">
        <x:v>Citada</x:v>
      </x:c>
      <x:c r="H19" s="37" t="str">
        <x:v>1</x:v>
      </x:c>
      <x:c r="I19" s="37" t="str">
        <x:v>URL institucional pendiente de revisión manual</x:v>
      </x:c>
      <x:c r="J19" s="38" t="str"/>
      <x:c r="K19" s="38" t="str">
        <x:v>Verificación manual necesaria</x:v>
      </x:c>
      <x:c r="L19" s="38" t="str">
        <x:v>Confirmar título, año y URL en el portal oficial de Global Entrepreneurship Monitor.</x:v>
      </x:c>
      <x:c r="M19" s="38" t="str">
        <x:v>Media (informe institucional)</x:v>
      </x:c>
      <x:c r="N19" s="38" t="str"/>
      <x:c r="O19" s="38" t="str"/>
      <x:c r="P19" s="38" t="str"/>
      <x:c r="Q19" s="38" t="str"/>
      <x:c r="R19" s="38" t="str">
        <x:v>https://www.gemconsortium.org/report/51377</x:v>
      </x:c>
    </x:row>
    <x:row r="20">
      <x:c r="A20" s="37" t="str">
        <x:v>REF-14</x:v>
      </x:c>
      <x:c r="B20" s="38" t="str">
        <x:v>Góngora Chonillo, J. T. (2023). Evaluación del riesgo financiero en microempresas a través de inteligencia artificial. Revista Pulso Científico, 1(2), 34–49. https://doi.org/10.70577/rps.v1i2.10</x:v>
      </x:c>
      <x:c r="C20" s="37" t="str">
        <x:v>Góngora Chonillo</x:v>
      </x:c>
      <x:c r="D20" s="37" t="str">
        <x:v>10.70577/rps.v1i2.10</x:v>
      </x:c>
      <x:c r="E20" s="37" t="n">
        <x:v>2023</x:v>
      </x:c>
      <x:c r="F20" s="37" t="str">
        <x:v>Reciente (2021–2026)</x:v>
      </x:c>
      <x:c r="G20" s="37" t="str">
        <x:v>Citada</x:v>
      </x:c>
      <x:c r="H20" s="37" t="str">
        <x:v>2</x:v>
      </x:c>
      <x:c r="I20" s="37" t="str">
        <x:v>Verificada con Crossref</x:v>
      </x:c>
      <x:c r="J20" s="38" t="str"/>
      <x:c r="K20" s="38" t="str">
        <x:v>Correcta según metadatos</x:v>
      </x:c>
      <x:c r="L20" s="38" t="str">
        <x:v>Sin ajuste bibliográfico identificado por la validación automatizada.</x:v>
      </x:c>
      <x:c r="M20" s="38" t="str">
        <x:v>Alta</x:v>
      </x:c>
      <x:c r="N20" s="38" t="str">
        <x:v>Evaluación del riesgo financiero en microempresas a través de inteligencia artificial</x:v>
      </x:c>
      <x:c r="O20" s="38" t="str">
        <x:v>Gongora Chonillo</x:v>
      </x:c>
      <x:c r="P20" s="38" t="n">
        <x:v>2023</x:v>
      </x:c>
      <x:c r="Q20" s="38" t="str">
        <x:v>Revista Pulso Científico / Center and Development of Research Projects</x:v>
      </x:c>
      <x:c r="R20" s="38" t="str">
        <x:v>https://doi.org/10.70577/rps.v1i2.10</x:v>
      </x:c>
    </x:row>
    <x:row r="21">
      <x:c r="A21" s="37" t="str">
        <x:v>REF-15</x:v>
      </x:c>
      <x:c r="B21" s="38" t="str">
        <x:v>Hastie, T., Tibshirani, R., &amp; Friedman, J. (2009). The elements of statistical learning: Data mining, inference, and prediction (2nd ed.). Springer. https://doi.org/10.1007/978-0-387-84858-7</x:v>
      </x:c>
      <x:c r="C21" s="37" t="str">
        <x:v>Hastie</x:v>
      </x:c>
      <x:c r="D21" s="37" t="str">
        <x:v>10.1007/978-0-387-84858-7</x:v>
      </x:c>
      <x:c r="E21" s="37" t="n">
        <x:v>2009</x:v>
      </x:c>
      <x:c r="F21" s="37" t="str">
        <x:v>Clásica o fundacional (≤2020)</x:v>
      </x:c>
      <x:c r="G21" s="37" t="str">
        <x:v>Citada</x:v>
      </x:c>
      <x:c r="H21" s="37" t="str">
        <x:v>20, 29</x:v>
      </x:c>
      <x:c r="I21" s="37" t="str">
        <x:v>Verificada con Crossref</x:v>
      </x:c>
      <x:c r="J21" s="38" t="str"/>
      <x:c r="K21" s="38" t="str">
        <x:v>Correcta según metadatos</x:v>
      </x:c>
      <x:c r="L21" s="38" t="str">
        <x:v>Sin ajuste bibliográfico identificado por la validación automatizada.</x:v>
      </x:c>
      <x:c r="M21" s="38" t="str">
        <x:v>Muy alta</x:v>
      </x:c>
      <x:c r="N21" s="38" t="str">
        <x:v>The Elements of Statistical Learning</x:v>
      </x:c>
      <x:c r="O21" s="38" t="str">
        <x:v>Hastie</x:v>
      </x:c>
      <x:c r="P21" s="38" t="n">
        <x:v>2009</x:v>
      </x:c>
      <x:c r="Q21" s="38" t="str">
        <x:v>Springer Series in Statistics / Springer New York</x:v>
      </x:c>
      <x:c r="R21" s="38" t="str">
        <x:v>https://doi.org/10.1007/978-0-387-84858-7</x:v>
      </x:c>
    </x:row>
    <x:row r="22">
      <x:c r="A22" s="37" t="str">
        <x:v>REF-16</x:v>
      </x:c>
      <x:c r="B22" s="38" t="str">
        <x:v>Hewamalage, H., Bergmeir, C., &amp; Bandara, K. (2021). Recurrent neural networks for time series forecasting: Current status and future directions. International Journal of Forecasting, 37(1), 388–427. https://doi.org/10.1016/j.ijforecast.2020.06.008</x:v>
      </x:c>
      <x:c r="C22" s="37" t="str">
        <x:v>Hewamalage</x:v>
      </x:c>
      <x:c r="D22" s="37" t="str">
        <x:v>10.1016/j.ijforecast.2020.06.008</x:v>
      </x:c>
      <x:c r="E22" s="37" t="n">
        <x:v>2021</x:v>
      </x:c>
      <x:c r="F22" s="37" t="str">
        <x:v>Reciente (2021–2026)</x:v>
      </x:c>
      <x:c r="G22" s="37" t="str">
        <x:v>Citada</x:v>
      </x:c>
      <x:c r="H22" s="37" t="str">
        <x:v>7, 10, 15, 25</x:v>
      </x:c>
      <x:c r="I22" s="37" t="str">
        <x:v>Verificada con Crossref</x:v>
      </x:c>
      <x:c r="J22" s="38" t="str"/>
      <x:c r="K22" s="38" t="str">
        <x:v>Correcta según metadatos</x:v>
      </x:c>
      <x:c r="L22" s="38" t="str">
        <x:v>Sin ajuste bibliográfico identificado por la validación automatizada.</x:v>
      </x:c>
      <x:c r="M22" s="38" t="str">
        <x:v>Muy alta</x:v>
      </x:c>
      <x:c r="N22" s="38" t="str">
        <x:v>Recurrent Neural Networks for Time Series Forecasting: Current status and future directions</x:v>
      </x:c>
      <x:c r="O22" s="38" t="str">
        <x:v>Hewamalage</x:v>
      </x:c>
      <x:c r="P22" s="38" t="n">
        <x:v>2021</x:v>
      </x:c>
      <x:c r="Q22" s="38" t="str">
        <x:v>International Journal of Forecasting / Elsevier BV</x:v>
      </x:c>
      <x:c r="R22" s="38" t="str">
        <x:v>https://doi.org/10.1016/j.ijforecast.2020.06.008</x:v>
      </x:c>
    </x:row>
    <x:row r="23">
      <x:c r="A23" s="37" t="str">
        <x:v>REF-17</x:v>
      </x:c>
      <x:c r="B23" s="38" t="str">
        <x:v>Huber, J., &amp; Stuckenschmidt, H. (2020). Daily retail demand forecasting using machine learning with emphasis on calendric special days. International Journal of Forecasting, 36(4), 1420–1438. https://doi.org/10.1016/j.ijforecast.2020.02.005</x:v>
      </x:c>
      <x:c r="C23" s="37" t="str">
        <x:v>Huber</x:v>
      </x:c>
      <x:c r="D23" s="37" t="str">
        <x:v>10.1016/j.ijforecast.2020.02.005</x:v>
      </x:c>
      <x:c r="E23" s="37" t="n">
        <x:v>2020</x:v>
      </x:c>
      <x:c r="F23" s="37" t="str">
        <x:v>Clásica o fundacional (≤2020)</x:v>
      </x:c>
      <x:c r="G23" s="37" t="str">
        <x:v>Citada</x:v>
      </x:c>
      <x:c r="H23" s="37" t="str">
        <x:v>9, 15, 18</x:v>
      </x:c>
      <x:c r="I23" s="37" t="str">
        <x:v>Verificada con Crossref</x:v>
      </x:c>
      <x:c r="J23" s="38" t="str"/>
      <x:c r="K23" s="38" t="str">
        <x:v>Correcta según metadatos</x:v>
      </x:c>
      <x:c r="L23" s="38" t="str">
        <x:v>Sin ajuste bibliográfico identificado por la validación automatizada.</x:v>
      </x:c>
      <x:c r="M23" s="38" t="str">
        <x:v>Muy alta</x:v>
      </x:c>
      <x:c r="N23" s="38" t="str">
        <x:v>Daily retail demand forecasting using machine learning with emphasis on calendric special days</x:v>
      </x:c>
      <x:c r="O23" s="38" t="str">
        <x:v>Huber</x:v>
      </x:c>
      <x:c r="P23" s="38" t="n">
        <x:v>2020</x:v>
      </x:c>
      <x:c r="Q23" s="38" t="str">
        <x:v>International Journal of Forecasting / Elsevier BV</x:v>
      </x:c>
      <x:c r="R23" s="38" t="str">
        <x:v>https://doi.org/10.1016/j.ijforecast.2020.02.005</x:v>
      </x:c>
    </x:row>
    <x:row r="24">
      <x:c r="A24" s="37" t="str">
        <x:v>REF-18</x:v>
      </x:c>
      <x:c r="B24" s="38" t="str">
        <x:v>Hyndman, R. J., &amp; Athanasopoulos, G. (2021). Forecasting: Principles and practice (3rd ed.). OTexts. https://otexts.com/fpp3/</x:v>
      </x:c>
      <x:c r="C24" s="37" t="str">
        <x:v>Hyndman</x:v>
      </x:c>
      <x:c r="D24" s="37" t="str"/>
      <x:c r="E24" s="37" t="n">
        <x:v>2021</x:v>
      </x:c>
      <x:c r="F24" s="37" t="str">
        <x:v>Reciente (2021–2026)</x:v>
      </x:c>
      <x:c r="G24" s="37" t="str">
        <x:v>Citada</x:v>
      </x:c>
      <x:c r="H24" s="37" t="str">
        <x:v>3, 10, 11, 17, 20, 21, 22, 23, 24, 25, 27, 28, 30, 31, 32, 34, 35</x:v>
      </x:c>
      <x:c r="I24" s="37" t="str">
        <x:v>URL institucional pendiente de revisión manual</x:v>
      </x:c>
      <x:c r="J24" s="38" t="str"/>
      <x:c r="K24" s="38" t="str">
        <x:v>Verificación manual necesaria</x:v>
      </x:c>
      <x:c r="L24" s="38" t="str">
        <x:v>Confirmar edición y URL en el sitio oficial OTexts.</x:v>
      </x:c>
      <x:c r="M24" s="38" t="str">
        <x:v>Alta (libro académico abierto)</x:v>
      </x:c>
      <x:c r="N24" s="38" t="str"/>
      <x:c r="O24" s="38" t="str"/>
      <x:c r="P24" s="38" t="str"/>
      <x:c r="Q24" s="38" t="str"/>
      <x:c r="R24" s="38" t="str">
        <x:v>https://otexts.com/fpp3/</x:v>
      </x:c>
    </x:row>
    <x:row r="25">
      <x:c r="A25" s="37" t="str">
        <x:v>REF-19</x:v>
      </x:c>
      <x:c r="B25" s="38" t="str">
        <x:v>Hyndman, R. J., &amp; Koehler, A. B. (2006). Another look at measures of forecast accuracy. International Journal of Forecasting, 22(4), 679–688. https://doi.org/10.1016/j.ijforecast.2006.03.001</x:v>
      </x:c>
      <x:c r="C25" s="37" t="str">
        <x:v>Hyndman</x:v>
      </x:c>
      <x:c r="D25" s="37" t="str">
        <x:v>10.1016/j.ijforecast.2006.03.001</x:v>
      </x:c>
      <x:c r="E25" s="37" t="n">
        <x:v>2006</x:v>
      </x:c>
      <x:c r="F25" s="37" t="str">
        <x:v>Clásica o fundacional (≤2020)</x:v>
      </x:c>
      <x:c r="G25" s="37" t="str">
        <x:v>Citada</x:v>
      </x:c>
      <x:c r="H25" s="37" t="str">
        <x:v>32, 33</x:v>
      </x:c>
      <x:c r="I25" s="37" t="str">
        <x:v>Verificada con Crossref</x:v>
      </x:c>
      <x:c r="J25" s="38" t="str"/>
      <x:c r="K25" s="38" t="str">
        <x:v>Correcta según metadatos</x:v>
      </x:c>
      <x:c r="L25" s="38" t="str">
        <x:v>Sin ajuste bibliográfico identificado por la validación automatizada.</x:v>
      </x:c>
      <x:c r="M25" s="38" t="str">
        <x:v>Muy alta</x:v>
      </x:c>
      <x:c r="N25" s="38" t="str">
        <x:v>Another look at measures of forecast accuracy</x:v>
      </x:c>
      <x:c r="O25" s="38" t="str">
        <x:v>Hyndman</x:v>
      </x:c>
      <x:c r="P25" s="38" t="n">
        <x:v>2006</x:v>
      </x:c>
      <x:c r="Q25" s="38" t="str">
        <x:v>International Journal of Forecasting / Elsevier BV</x:v>
      </x:c>
      <x:c r="R25" s="38" t="str">
        <x:v>https://doi.org/10.1016/j.ijforecast.2006.03.001</x:v>
      </x:c>
    </x:row>
    <x:row r="26">
      <x:c r="A26" s="37" t="str">
        <x:v>REF-20</x:v>
      </x:c>
      <x:c r="B26" s="38" t="str">
        <x:v>Hyndman, R. J., Ahmed, R. A., Athanasopoulos, G., &amp; Shang, H. L. (2011). Optimal combination forecasts for hierarchical time series. Computational Statistics &amp; Data Analysis, 55(9), 2579–2589. https://doi.org/10.1016/j.csda.2011.03.006</x:v>
      </x:c>
      <x:c r="C26" s="37" t="str">
        <x:v>Hyndman</x:v>
      </x:c>
      <x:c r="D26" s="37" t="str">
        <x:v>10.1016/j.csda.2011.03.006</x:v>
      </x:c>
      <x:c r="E26" s="37" t="n">
        <x:v>2011</x:v>
      </x:c>
      <x:c r="F26" s="37" t="str">
        <x:v>Clásica o fundacional (≤2020)</x:v>
      </x:c>
      <x:c r="G26" s="37" t="str">
        <x:v>Citada</x:v>
      </x:c>
      <x:c r="H26" s="37" t="str">
        <x:v>11, 21, 28, 35</x:v>
      </x:c>
      <x:c r="I26" s="37" t="str">
        <x:v>Verificada con Crossref</x:v>
      </x:c>
      <x:c r="J26" s="38" t="str"/>
      <x:c r="K26" s="38" t="str">
        <x:v>Correcta según metadatos</x:v>
      </x:c>
      <x:c r="L26" s="38" t="str">
        <x:v>Sin ajuste bibliográfico identificado por la validación automatizada.</x:v>
      </x:c>
      <x:c r="M26" s="38" t="str">
        <x:v>Muy alta</x:v>
      </x:c>
      <x:c r="N26" s="38" t="str">
        <x:v>Optimal combination forecasts for hierarchical time series</x:v>
      </x:c>
      <x:c r="O26" s="38" t="str">
        <x:v>Hyndman</x:v>
      </x:c>
      <x:c r="P26" s="38" t="n">
        <x:v>2011</x:v>
      </x:c>
      <x:c r="Q26" s="38" t="str">
        <x:v>Computational Statistics &amp;amp; Data Analysis / Elsevier BV</x:v>
      </x:c>
      <x:c r="R26" s="38" t="str">
        <x:v>https://doi.org/10.1016/j.csda.2011.03.006</x:v>
      </x:c>
    </x:row>
    <x:row r="27">
      <x:c r="A27" s="37" t="str">
        <x:v>REF-21</x:v>
      </x:c>
      <x:c r="B27" s="38" t="str">
        <x:v>Hübner, N., Caspers, J., Coroamă, V. C., &amp; Finkbeiner, M. (2024). Machine-learning-based demand forecasting against food waste: Life cycle environmental impacts and benefits of a bakery case study. Journal of Industrial Ecology, 28, 1117–1131. https://doi.org/10.1111/jiec.13528</x:v>
      </x:c>
      <x:c r="C27" s="37" t="str">
        <x:v>Hübner</x:v>
      </x:c>
      <x:c r="D27" s="37" t="str">
        <x:v>10.1111/jiec.13528</x:v>
      </x:c>
      <x:c r="E27" s="37" t="n">
        <x:v>2024</x:v>
      </x:c>
      <x:c r="F27" s="37" t="str">
        <x:v>Reciente (2021–2026)</x:v>
      </x:c>
      <x:c r="G27" s="37" t="str">
        <x:v>Citada</x:v>
      </x:c>
      <x:c r="H27" s="37" t="str">
        <x:v>2, 9, 12, 15</x:v>
      </x:c>
      <x:c r="I27" s="37" t="str">
        <x:v>Verificada con Crossref</x:v>
      </x:c>
      <x:c r="J27" s="38" t="str"/>
      <x:c r="K27" s="38" t="str">
        <x:v>Correcta según metadatos</x:v>
      </x:c>
      <x:c r="L27" s="38" t="str">
        <x:v>Sin ajuste bibliográfico identificado por la validación automatizada.</x:v>
      </x:c>
      <x:c r="M27" s="38" t="str">
        <x:v>Muy alta</x:v>
      </x:c>
      <x:c r="N27" s="38" t="str">
        <x:v>Machine‐learning‐based demand forecasting against food waste: Life cycle environmental impacts and benefits of a bakery case study</x:v>
      </x:c>
      <x:c r="O27" s="38" t="str">
        <x:v>Hübner</x:v>
      </x:c>
      <x:c r="P27" s="38" t="n">
        <x:v>2024</x:v>
      </x:c>
      <x:c r="Q27" s="38" t="str">
        <x:v>Journal of Industrial Ecology / Springer Science and Business Media LLC</x:v>
      </x:c>
      <x:c r="R27" s="38" t="str">
        <x:v>https://doi.org/10.1111/jiec.13528</x:v>
      </x:c>
    </x:row>
    <x:row r="28">
      <x:c r="A28" s="37" t="str">
        <x:v>REF-22</x:v>
      </x:c>
      <x:c r="B28" s="38" t="str">
        <x:v>Instituto Nacional de Estadística y Geografía (INEGI). (2025, 25 de junio). Estadísticas a propósito del Día de las Micro, Pequeñas y Medianas Empresas (mipymes) [Comunicado de prensa 71/25]. https://www.inegi.org.mx/contenidos/saladeprensa/aproposito/2025/EAP_MIPYMES_25.pdf</x:v>
      </x:c>
      <x:c r="C28" s="37" t="str">
        <x:v>Instituto Nacional de Estadística y Geografía (INEGI)</x:v>
      </x:c>
      <x:c r="D28" s="37" t="str"/>
      <x:c r="E28" s="37" t="n">
        <x:v>2025</x:v>
      </x:c>
      <x:c r="F28" s="37" t="str">
        <x:v>Reciente (2021–2026)</x:v>
      </x:c>
      <x:c r="G28" s="37" t="str">
        <x:v>Citada</x:v>
      </x:c>
      <x:c r="H28" s="37" t="str">
        <x:v>2</x:v>
      </x:c>
      <x:c r="I28" s="37" t="str">
        <x:v>URL institucional pendiente de revisión manual</x:v>
      </x:c>
      <x:c r="J28" s="38" t="str"/>
      <x:c r="K28" s="38" t="str">
        <x:v>Verificación manual necesaria</x:v>
      </x:c>
      <x:c r="L28" s="38" t="str">
        <x:v>Confirmar título y vigencia del archivo en el portal oficial de INEGI.</x:v>
      </x:c>
      <x:c r="M28" s="38" t="str">
        <x:v>Media (fuente oficial)</x:v>
      </x:c>
      <x:c r="N28" s="38" t="str"/>
      <x:c r="O28" s="38" t="str"/>
      <x:c r="P28" s="38" t="str"/>
      <x:c r="Q28" s="38" t="str"/>
      <x:c r="R28" s="38" t="str">
        <x:v>https://www.inegi.org.mx/contenidos/saladeprensa/aproposito/2025/EAP_MIPYMES_25.pdf</x:v>
      </x:c>
    </x:row>
    <x:row r="29">
      <x:c r="A29" s="37" t="str">
        <x:v>REF-23</x:v>
      </x:c>
      <x:c r="B29" s="38" t="str">
        <x:v>Kantis, H., Federico, J., &amp; García, S. (2020). Índice de condiciones sistémicas para el emprendimiento dinámico. Prodem.</x:v>
      </x:c>
      <x:c r="C29" s="37" t="str">
        <x:v>Kantis</x:v>
      </x:c>
      <x:c r="D29" s="37" t="str"/>
      <x:c r="E29" s="37" t="n">
        <x:v>2020</x:v>
      </x:c>
      <x:c r="F29" s="37" t="str">
        <x:v>Clásica o fundacional (≤2020)</x:v>
      </x:c>
      <x:c r="G29" s="37" t="str">
        <x:v>Citada</x:v>
      </x:c>
      <x:c r="H29" s="37" t="str">
        <x:v>1</x:v>
      </x:c>
      <x:c r="I29" s="37" t="str">
        <x:v>Libro o informe sin DOI; revisión manual</x:v>
      </x:c>
      <x:c r="J29" s="38" t="str"/>
      <x:c r="K29" s="38" t="str">
        <x:v>Verificación manual necesaria</x:v>
      </x:c>
      <x:c r="L29" s="38" t="str">
        <x:v>Localizar el registro oficial de Prodem y completar URL o identificador editorial.</x:v>
      </x:c>
      <x:c r="M29" s="38" t="str">
        <x:v>Media (informe institucional)</x:v>
      </x:c>
      <x:c r="N29" s="38" t="str"/>
      <x:c r="O29" s="38" t="str"/>
      <x:c r="P29" s="38" t="str"/>
      <x:c r="Q29" s="38" t="str"/>
      <x:c r="R29" s="38" t="str"/>
    </x:row>
    <x:row r="30">
      <x:c r="A30" s="37" t="str">
        <x:v>REF-24</x:v>
      </x:c>
      <x:c r="B30" s="38" t="str">
        <x:v>Kuhn, M., &amp; Johnson, K. (2013). Applied predictive modeling. Springer. https://doi.org/10.1007/978-1-4614-6849-3</x:v>
      </x:c>
      <x:c r="C30" s="37" t="str">
        <x:v>Kuhn</x:v>
      </x:c>
      <x:c r="D30" s="37" t="str">
        <x:v>10.1007/978-1-4614-6849-3</x:v>
      </x:c>
      <x:c r="E30" s="37" t="n">
        <x:v>2013</x:v>
      </x:c>
      <x:c r="F30" s="37" t="str">
        <x:v>Clásica o fundacional (≤2020)</x:v>
      </x:c>
      <x:c r="G30" s="37" t="str">
        <x:v>Citada</x:v>
      </x:c>
      <x:c r="H30" s="37" t="str">
        <x:v>23, 26, 30</x:v>
      </x:c>
      <x:c r="I30" s="37" t="str">
        <x:v>Verificada con Crossref</x:v>
      </x:c>
      <x:c r="J30" s="38" t="str"/>
      <x:c r="K30" s="38" t="str">
        <x:v>Correcta según metadatos</x:v>
      </x:c>
      <x:c r="L30" s="38" t="str">
        <x:v>Sin ajuste bibliográfico identificado por la validación automatizada.</x:v>
      </x:c>
      <x:c r="M30" s="38" t="str">
        <x:v>Muy alta</x:v>
      </x:c>
      <x:c r="N30" s="38" t="str">
        <x:v>Applied Predictive Modeling</x:v>
      </x:c>
      <x:c r="O30" s="38" t="str">
        <x:v>Kuhn</x:v>
      </x:c>
      <x:c r="P30" s="38" t="n">
        <x:v>2013</x:v>
      </x:c>
      <x:c r="Q30" s="38" t="str">
        <x:v>Springer New York</x:v>
      </x:c>
      <x:c r="R30" s="38" t="str">
        <x:v>https://doi.org/10.1007/978-1-4614-6849-3</x:v>
      </x:c>
    </x:row>
    <x:row r="31">
      <x:c r="A31" s="37" t="str">
        <x:v>REF-25</x:v>
      </x:c>
      <x:c r="B31" s="38" t="str">
        <x:v>Lee, K.-S., Blum, D., Miao, L., &amp; Tomas, S. R. (2020). The creative minds of extraordinary pastry chefs: An integrated theory of aesthetic expressions—A portraiture study. International Journal of Contemporary Hospitality Management, 32(9), 3015–3034. https://doi.org/10.1108/IJCHM-04-2020-0329</x:v>
      </x:c>
      <x:c r="C31" s="37" t="str">
        <x:v>Lee</x:v>
      </x:c>
      <x:c r="D31" s="37" t="str">
        <x:v>10.1108/IJCHM-04-2020-0329</x:v>
      </x:c>
      <x:c r="E31" s="37" t="n">
        <x:v>2020</x:v>
      </x:c>
      <x:c r="F31" s="37" t="str">
        <x:v>Clásica o fundacional (≤2020)</x:v>
      </x:c>
      <x:c r="G31" s="37" t="str">
        <x:v>Citada</x:v>
      </x:c>
      <x:c r="H31" s="37" t="str">
        <x:v>12, 15</x:v>
      </x:c>
      <x:c r="I31" s="37" t="str">
        <x:v>Verificada con Crossref</x:v>
      </x:c>
      <x:c r="J31" s="38" t="str"/>
      <x:c r="K31" s="38" t="str">
        <x:v>Correcta según metadatos</x:v>
      </x:c>
      <x:c r="L31" s="38" t="str">
        <x:v>Sin ajuste bibliográfico identificado por la validación automatizada.</x:v>
      </x:c>
      <x:c r="M31" s="38" t="str">
        <x:v>Alta</x:v>
      </x:c>
      <x:c r="N31" s="38" t="str">
        <x:v>The creative minds of extraordinary pastry chefs: an integrated theory of aesthetic expressions – a portraiture study</x:v>
      </x:c>
      <x:c r="O31" s="38" t="str">
        <x:v>Lee</x:v>
      </x:c>
      <x:c r="P31" s="38" t="n">
        <x:v>2020</x:v>
      </x:c>
      <x:c r="Q31" s="38" t="str">
        <x:v>International Journal of Contemporary Hospitality Management / Emerald</x:v>
      </x:c>
      <x:c r="R31" s="38" t="str">
        <x:v>https://doi.org/10.1108/ijchm-04-2020-0329</x:v>
      </x:c>
    </x:row>
    <x:row r="32">
      <x:c r="A32" s="37" t="str">
        <x:v>REF-26</x:v>
      </x:c>
      <x:c r="B32" s="38" t="str">
        <x:v>Makridakis, S., Spiliotis, E., &amp; Assimakopoulos, V. (2018a). Statistical and machine learning forecasting methods: Concerns and ways forward. PLOS ONE, 13(3), e0194889. https://doi.org/10.1371/journal.pone.0194889</x:v>
      </x:c>
      <x:c r="C32" s="37" t="str">
        <x:v>Makridakis</x:v>
      </x:c>
      <x:c r="D32" s="37" t="str">
        <x:v>10.1371/journal.pone.0194889</x:v>
      </x:c>
      <x:c r="E32" s="37" t="n">
        <x:v>2018</x:v>
      </x:c>
      <x:c r="F32" s="37" t="str">
        <x:v>Clásica o fundacional (≤2020)</x:v>
      </x:c>
      <x:c r="G32" s="37" t="str">
        <x:v>Citada</x:v>
      </x:c>
      <x:c r="H32" s="37" t="str">
        <x:v>2</x:v>
      </x:c>
      <x:c r="I32" s="37" t="str">
        <x:v>Verificada con Crossref</x:v>
      </x:c>
      <x:c r="J32" s="38" t="str"/>
      <x:c r="K32" s="38" t="str">
        <x:v>Correcta según metadatos</x:v>
      </x:c>
      <x:c r="L32" s="38" t="str">
        <x:v>Sin ajuste bibliográfico identificado por la validación automatizada.</x:v>
      </x:c>
      <x:c r="M32" s="38" t="str">
        <x:v>Alta</x:v>
      </x:c>
      <x:c r="N32" s="38" t="str">
        <x:v>Statistical and Machine Learning forecasting methods: Concerns and ways forward</x:v>
      </x:c>
      <x:c r="O32" s="38" t="str">
        <x:v>Makridakis</x:v>
      </x:c>
      <x:c r="P32" s="38" t="n">
        <x:v>2018</x:v>
      </x:c>
      <x:c r="Q32" s="38" t="str">
        <x:v>PLOS ONE / Public Library of Science (PLoS)</x:v>
      </x:c>
      <x:c r="R32" s="38" t="str">
        <x:v>https://doi.org/10.1371/journal.pone.0194889</x:v>
      </x:c>
    </x:row>
    <x:row r="33">
      <x:c r="A33" s="37" t="str">
        <x:v>REF-27</x:v>
      </x:c>
      <x:c r="B33" s="38" t="str">
        <x:v>Makridakis, S., Spiliotis, E., &amp; Assimakopoulos, V. (2018b). The M4 competition: Results, findings, conclusion and way forward. International Journal of Forecasting, 34(4), 802–808. https://doi.org/10.1016/j.ijforecast.2018.06.001</x:v>
      </x:c>
      <x:c r="C33" s="37" t="str">
        <x:v>Makridakis</x:v>
      </x:c>
      <x:c r="D33" s="37" t="str">
        <x:v>10.1016/j.ijforecast.2018.06.001</x:v>
      </x:c>
      <x:c r="E33" s="37" t="n">
        <x:v>2018</x:v>
      </x:c>
      <x:c r="F33" s="37" t="str">
        <x:v>Clásica o fundacional (≤2020)</x:v>
      </x:c>
      <x:c r="G33" s="37" t="str">
        <x:v>Citada</x:v>
      </x:c>
      <x:c r="H33" s="37" t="str">
        <x:v>10, 18</x:v>
      </x:c>
      <x:c r="I33" s="37" t="str">
        <x:v>Verificada con Crossref</x:v>
      </x:c>
      <x:c r="J33" s="38" t="str"/>
      <x:c r="K33" s="38" t="str">
        <x:v>Correcta según metadatos</x:v>
      </x:c>
      <x:c r="L33" s="38" t="str">
        <x:v>Sin ajuste bibliográfico identificado por la validación automatizada.</x:v>
      </x:c>
      <x:c r="M33" s="38" t="str">
        <x:v>Muy alta</x:v>
      </x:c>
      <x:c r="N33" s="38" t="str">
        <x:v>The M4 Competition: Results, findings, conclusion and way forward</x:v>
      </x:c>
      <x:c r="O33" s="38" t="str">
        <x:v>Makridakis</x:v>
      </x:c>
      <x:c r="P33" s="38" t="n">
        <x:v>2018</x:v>
      </x:c>
      <x:c r="Q33" s="38" t="str">
        <x:v>International Journal of Forecasting / Elsevier BV</x:v>
      </x:c>
      <x:c r="R33" s="38" t="str">
        <x:v>https://doi.org/10.1016/j.ijforecast.2018.06.001</x:v>
      </x:c>
    </x:row>
    <x:row r="34">
      <x:c r="A34" s="37" t="str">
        <x:v>REF-28</x:v>
      </x:c>
      <x:c r="B34" s="38" t="str">
        <x:v>Makridakis, S., Spiliotis, E., &amp; Assimakopoulos, V. (2020). The M4 competition: 100,000 time series and 61 forecasting methods. International Journal of Forecasting, 36(1), 54–74. https://doi.org/10.1016/j.ijforecast.2019.04.014</x:v>
      </x:c>
      <x:c r="C34" s="37" t="str">
        <x:v>Makridakis</x:v>
      </x:c>
      <x:c r="D34" s="37" t="str">
        <x:v>10.1016/j.ijforecast.2019.04.014</x:v>
      </x:c>
      <x:c r="E34" s="37" t="n">
        <x:v>2020</x:v>
      </x:c>
      <x:c r="F34" s="37" t="str">
        <x:v>Clásica o fundacional (≤2020)</x:v>
      </x:c>
      <x:c r="G34" s="37" t="str">
        <x:v>Citada</x:v>
      </x:c>
      <x:c r="H34" s="37" t="str">
        <x:v>10, 15, 18, 26, 78</x:v>
      </x:c>
      <x:c r="I34" s="37" t="str">
        <x:v>Verificada con Crossref</x:v>
      </x:c>
      <x:c r="J34" s="38" t="str"/>
      <x:c r="K34" s="38" t="str">
        <x:v>Correcta según metadatos</x:v>
      </x:c>
      <x:c r="L34" s="38" t="str">
        <x:v>Sin ajuste bibliográfico identificado por la validación automatizada.</x:v>
      </x:c>
      <x:c r="M34" s="38" t="str">
        <x:v>Muy alta</x:v>
      </x:c>
      <x:c r="N34" s="38" t="str">
        <x:v>The M4 Competition: 100,000 time series and 61 forecasting methods</x:v>
      </x:c>
      <x:c r="O34" s="38" t="str">
        <x:v>Makridakis</x:v>
      </x:c>
      <x:c r="P34" s="38" t="n">
        <x:v>2020</x:v>
      </x:c>
      <x:c r="Q34" s="38" t="str">
        <x:v>International Journal of Forecasting / Elsevier BV</x:v>
      </x:c>
      <x:c r="R34" s="38" t="str">
        <x:v>https://doi.org/10.1016/j.ijforecast.2019.04.014</x:v>
      </x:c>
    </x:row>
    <x:row r="35">
      <x:c r="A35" s="37" t="str">
        <x:v>REF-29</x:v>
      </x:c>
      <x:c r="B35" s="38" t="str">
        <x:v>Maldonado-Guzmán, G., &amp; Garza-Reyes, J. A. (2020). Eco-innovation practices’ adoption in the automotive industry. International Journal of Innovation Science, 12(1), 80–98. https://doi.org/10.1108/IJIS-10-2019-0094</x:v>
      </x:c>
      <x:c r="C35" s="37" t="str">
        <x:v>Maldonado-Guzmán</x:v>
      </x:c>
      <x:c r="D35" s="37" t="str">
        <x:v>10.1108/IJIS-10-2019-0094</x:v>
      </x:c>
      <x:c r="E35" s="37" t="n">
        <x:v>2020</x:v>
      </x:c>
      <x:c r="F35" s="37" t="str">
        <x:v>Clásica o fundacional (≤2020)</x:v>
      </x:c>
      <x:c r="G35" s="37" t="str">
        <x:v>Citada</x:v>
      </x:c>
      <x:c r="H35" s="37" t="str">
        <x:v>14, 16</x:v>
      </x:c>
      <x:c r="I35" s="37" t="str">
        <x:v>Verificada con Crossref</x:v>
      </x:c>
      <x:c r="J35" s="38" t="str"/>
      <x:c r="K35" s="38" t="str">
        <x:v>Correcta según metadatos</x:v>
      </x:c>
      <x:c r="L35" s="38" t="str">
        <x:v>Sin ajuste bibliográfico identificado por la validación automatizada.</x:v>
      </x:c>
      <x:c r="M35" s="38" t="str">
        <x:v>Alta</x:v>
      </x:c>
      <x:c r="N35" s="38" t="str">
        <x:v>Eco-innovation practices’ adoption in the automotive industry</x:v>
      </x:c>
      <x:c r="O35" s="38" t="str">
        <x:v>Maldonado-Guzmán</x:v>
      </x:c>
      <x:c r="P35" s="38" t="n">
        <x:v>2020</x:v>
      </x:c>
      <x:c r="Q35" s="38" t="str">
        <x:v>International Journal of Innovation Science / Emerald</x:v>
      </x:c>
      <x:c r="R35" s="38" t="str">
        <x:v>https://doi.org/10.1108/ijis-10-2019-0094</x:v>
      </x:c>
    </x:row>
    <x:row r="36">
      <x:c r="A36" s="37" t="str">
        <x:v>REF-30</x:v>
      </x:c>
      <x:c r="B36" s="38" t="str">
        <x:v>Melesse, T. Y., &amp; Orrù, P. F. (2025). The digital revolution in the bakery sector: Innovations, challenges, and opportunities from Industry 4.0. Foods, 14(3), Article 526. https://doi.org/10.3390/foods14030526</x:v>
      </x:c>
      <x:c r="C36" s="37" t="str">
        <x:v>Melesse</x:v>
      </x:c>
      <x:c r="D36" s="37" t="str">
        <x:v>10.3390/foods14030526</x:v>
      </x:c>
      <x:c r="E36" s="37" t="n">
        <x:v>2025</x:v>
      </x:c>
      <x:c r="F36" s="37" t="str">
        <x:v>Reciente (2021–2026)</x:v>
      </x:c>
      <x:c r="G36" s="37" t="str">
        <x:v>Citada</x:v>
      </x:c>
      <x:c r="H36" s="37" t="str">
        <x:v>12, 16</x:v>
      </x:c>
      <x:c r="I36" s="37" t="str">
        <x:v>Verificada con Crossref</x:v>
      </x:c>
      <x:c r="J36" s="38" t="str"/>
      <x:c r="K36" s="38" t="str">
        <x:v>Correcta según metadatos</x:v>
      </x:c>
      <x:c r="L36" s="38" t="str">
        <x:v>Sin ajuste bibliográfico identificado por la validación automatizada.</x:v>
      </x:c>
      <x:c r="M36" s="38" t="str">
        <x:v>Alta</x:v>
      </x:c>
      <x:c r="N36" s="38" t="str">
        <x:v>The Digital Revolution in the Bakery Sector: Innovations, Challenges, and Opportunities from Industry 4.0</x:v>
      </x:c>
      <x:c r="O36" s="38" t="str">
        <x:v>Melesse</x:v>
      </x:c>
      <x:c r="P36" s="38" t="n">
        <x:v>2025</x:v>
      </x:c>
      <x:c r="Q36" s="38" t="str">
        <x:v>Foods / MDPI AG</x:v>
      </x:c>
      <x:c r="R36" s="38" t="str">
        <x:v>https://doi.org/10.3390/foods14030526</x:v>
      </x:c>
    </x:row>
    <x:row r="37">
      <x:c r="A37" s="37" t="str">
        <x:v>REF-31</x:v>
      </x:c>
      <x:c r="B37" s="38" t="str">
        <x:v>Mikalef, P., Boura, M., Lekakos, G., &amp; Krogstie, J. (2019). Big data analytics capabilities and innovation: The mediating role of dynamic capabilities and moderating effect of the environment. British Journal of Management, 30(2), 272–298. https://doi.org/10.1111/1467-8551.12343</x:v>
      </x:c>
      <x:c r="C37" s="37" t="str">
        <x:v>Mikalef</x:v>
      </x:c>
      <x:c r="D37" s="37" t="str">
        <x:v>10.1111/1467-8551.12343</x:v>
      </x:c>
      <x:c r="E37" s="37" t="n">
        <x:v>2019</x:v>
      </x:c>
      <x:c r="F37" s="37" t="str">
        <x:v>Clásica o fundacional (≤2020)</x:v>
      </x:c>
      <x:c r="G37" s="37" t="str">
        <x:v>Citada</x:v>
      </x:c>
      <x:c r="H37" s="37" t="str">
        <x:v>3, 12, 13, 16</x:v>
      </x:c>
      <x:c r="I37" s="37" t="str">
        <x:v>Verificada con Crossref</x:v>
      </x:c>
      <x:c r="J37" s="38" t="str"/>
      <x:c r="K37" s="38" t="str">
        <x:v>Correcta según metadatos</x:v>
      </x:c>
      <x:c r="L37" s="38" t="str">
        <x:v>Sin ajuste bibliográfico identificado por la validación automatizada.</x:v>
      </x:c>
      <x:c r="M37" s="38" t="str">
        <x:v>Alta</x:v>
      </x:c>
      <x:c r="N37" s="38" t="str">
        <x:v>Big Data Analytics Capabilities and Innovation: The Mediating Role of Dynamic Capabilities and Moderating Effect of the Environment</x:v>
      </x:c>
      <x:c r="O37" s="38" t="str">
        <x:v>Mikalef</x:v>
      </x:c>
      <x:c r="P37" s="38" t="n">
        <x:v>2019</x:v>
      </x:c>
      <x:c r="Q37" s="38" t="str">
        <x:v>British Journal of Management / Wiley</x:v>
      </x:c>
      <x:c r="R37" s="38" t="str">
        <x:v>https://doi.org/10.1111/1467-8551.12343</x:v>
      </x:c>
    </x:row>
    <x:row r="38">
      <x:c r="A38" s="37" t="str">
        <x:v>REF-32</x:v>
      </x:c>
      <x:c r="B38" s="38" t="str">
        <x:v>Minniti, M., &amp; Bygrave, W. (2001). A dynamic model of entrepreneurial learning. Entrepreneurship Theory and Practice, 25(3), 5–16. https://doi.org/10.1177/104225870102500301</x:v>
      </x:c>
      <x:c r="C38" s="37" t="str">
        <x:v>Minniti</x:v>
      </x:c>
      <x:c r="D38" s="37" t="str">
        <x:v>10.1177/104225870102500301</x:v>
      </x:c>
      <x:c r="E38" s="37" t="n">
        <x:v>2001</x:v>
      </x:c>
      <x:c r="F38" s="37" t="str">
        <x:v>Clásica o fundacional (≤2020)</x:v>
      </x:c>
      <x:c r="G38" s="37" t="str">
        <x:v>Citada</x:v>
      </x:c>
      <x:c r="H38" s="37" t="str">
        <x:v>1</x:v>
      </x:c>
      <x:c r="I38" s="37" t="str">
        <x:v>Verificada con Crossref</x:v>
      </x:c>
      <x:c r="J38" s="38" t="str"/>
      <x:c r="K38" s="38" t="str">
        <x:v>Correcta según metadatos</x:v>
      </x:c>
      <x:c r="L38" s="38" t="str">
        <x:v>Sin ajuste bibliográfico identificado por la validación automatizada.</x:v>
      </x:c>
      <x:c r="M38" s="38" t="str">
        <x:v>Alta</x:v>
      </x:c>
      <x:c r="N38" s="38" t="str">
        <x:v>A Dynamic Model of Entrepreneurial Learning</x:v>
      </x:c>
      <x:c r="O38" s="38" t="str">
        <x:v>Minniti</x:v>
      </x:c>
      <x:c r="P38" s="38" t="n">
        <x:v>2001</x:v>
      </x:c>
      <x:c r="Q38" s="38" t="str">
        <x:v>Entrepreneurship Theory and Practice / SAGE Publications</x:v>
      </x:c>
      <x:c r="R38" s="38" t="str">
        <x:v>https://doi.org/10.1177/104225870102500301</x:v>
      </x:c>
    </x:row>
    <x:row r="39">
      <x:c r="A39" s="37" t="str">
        <x:v>REF-33</x:v>
      </x:c>
      <x:c r="B39" s="38" t="str">
        <x:v>OECD. (2021). The digital transformation of SMEs. OECD Publishing. https://doi.org/10.1787/bdb9256a-en</x:v>
      </x:c>
      <x:c r="C39" s="37" t="str">
        <x:v>OECD</x:v>
      </x:c>
      <x:c r="D39" s="37" t="str">
        <x:v>10.1787/bdb9256a-en</x:v>
      </x:c>
      <x:c r="E39" s="37" t="n">
        <x:v>2021</x:v>
      </x:c>
      <x:c r="F39" s="37" t="str">
        <x:v>Reciente (2021–2026)</x:v>
      </x:c>
      <x:c r="G39" s="37" t="str">
        <x:v>Citada</x:v>
      </x:c>
      <x:c r="H39" s="37" t="str">
        <x:v>1, 2, 19, 34</x:v>
      </x:c>
      <x:c r="I39" s="37" t="str">
        <x:v>Verificada con Crossref</x:v>
      </x:c>
      <x:c r="J39" s="38" t="str"/>
      <x:c r="K39" s="38" t="str">
        <x:v>Correcta según metadatos</x:v>
      </x:c>
      <x:c r="L39" s="38" t="str">
        <x:v>Sin ajuste bibliográfico identificado por la validación automatizada.</x:v>
      </x:c>
      <x:c r="M39" s="38" t="str">
        <x:v>Media (fuente oficial)</x:v>
      </x:c>
      <x:c r="N39" s="38" t="str">
        <x:v>The Digital Transformation of SMEs</x:v>
      </x:c>
      <x:c r="O39" s="38" t="str"/>
      <x:c r="P39" s="38" t="n">
        <x:v>2021</x:v>
      </x:c>
      <x:c r="Q39" s="38" t="str">
        <x:v>OECD Studies on SMEs and Entrepreneurship / OECD Publishing</x:v>
      </x:c>
      <x:c r="R39" s="38" t="str">
        <x:v>https://doi.org/10.1787/bdb9256a-en</x:v>
      </x:c>
    </x:row>
    <x:row r="40">
      <x:c r="A40" s="37" t="str">
        <x:v>REF-34</x:v>
      </x:c>
      <x:c r="B40" s="38" t="str">
        <x:v>Poveda-Valverde, F., &amp; Fierro Barragán, S. E. (2026). AI applications that can support sustainable practices in small and medium-sized enterprises in Latin America: A systematic review. Sustainability, 18(7), Article 3603. https://doi.org/10.3390/su18073603</x:v>
      </x:c>
      <x:c r="C40" s="37" t="str">
        <x:v>Poveda-Valverde</x:v>
      </x:c>
      <x:c r="D40" s="37" t="str">
        <x:v>10.3390/su18073603</x:v>
      </x:c>
      <x:c r="E40" s="37" t="n">
        <x:v>2026</x:v>
      </x:c>
      <x:c r="F40" s="37" t="str">
        <x:v>Reciente (2021–2026)</x:v>
      </x:c>
      <x:c r="G40" s="37" t="str">
        <x:v>Citada</x:v>
      </x:c>
      <x:c r="H40" s="37" t="str">
        <x:v>3, 6, 13, 14, 17, 18</x:v>
      </x:c>
      <x:c r="I40" s="37" t="str">
        <x:v>Verificada con Crossref</x:v>
      </x:c>
      <x:c r="J40" s="38" t="str"/>
      <x:c r="K40" s="38" t="str">
        <x:v>Correcta según metadatos</x:v>
      </x:c>
      <x:c r="L40" s="38" t="str">
        <x:v>Sin ajuste bibliográfico identificado por la validación automatizada.</x:v>
      </x:c>
      <x:c r="M40" s="38" t="str">
        <x:v>Alta</x:v>
      </x:c>
      <x:c r="N40" s="38" t="str">
        <x:v>AI Applications That Can Support Sustainable Practices in Small and Medium-Sized Enterprises in Latin America: A Systematic Review</x:v>
      </x:c>
      <x:c r="O40" s="38" t="str">
        <x:v>Poveda-Valverde</x:v>
      </x:c>
      <x:c r="P40" s="38" t="n">
        <x:v>2026</x:v>
      </x:c>
      <x:c r="Q40" s="38" t="str">
        <x:v>Sustainability / MDPI AG</x:v>
      </x:c>
      <x:c r="R40" s="38" t="str">
        <x:v>https://doi.org/10.3390/su18073603</x:v>
      </x:c>
    </x:row>
    <x:row r="41">
      <x:c r="A41" s="37" t="str">
        <x:v>REF-35</x:v>
      </x:c>
      <x:c r="B41" s="38" t="str">
        <x:v>Power, D. J. (2002). Decision support systems: Concepts and resources for managers. Quorum Books.</x:v>
      </x:c>
      <x:c r="C41" s="37" t="str">
        <x:v>Power</x:v>
      </x:c>
      <x:c r="D41" s="37" t="str"/>
      <x:c r="E41" s="37" t="n">
        <x:v>2002</x:v>
      </x:c>
      <x:c r="F41" s="37" t="str">
        <x:v>Clásica o fundacional (≤2020)</x:v>
      </x:c>
      <x:c r="G41" s="37" t="str">
        <x:v>Citada</x:v>
      </x:c>
      <x:c r="H41" s="37" t="str">
        <x:v>20, 34, 35</x:v>
      </x:c>
      <x:c r="I41" s="37" t="str">
        <x:v>Libro o informe sin DOI; revisión manual</x:v>
      </x:c>
      <x:c r="J41" s="38" t="str"/>
      <x:c r="K41" s="38" t="str">
        <x:v>Verificación manual necesaria</x:v>
      </x:c>
      <x:c r="L41" s="38" t="str">
        <x:v>Confirmar ISBN, edición y editorial en catálogo bibliográfico o de la editorial.</x:v>
      </x:c>
      <x:c r="M41" s="38" t="str">
        <x:v>Alta (libro académico/profesional)</x:v>
      </x:c>
      <x:c r="N41" s="38" t="str"/>
      <x:c r="O41" s="38" t="str"/>
      <x:c r="P41" s="38" t="str"/>
      <x:c r="Q41" s="38" t="str"/>
      <x:c r="R41" s="38" t="str"/>
    </x:row>
    <x:row r="42">
      <x:c r="A42" s="37" t="str">
        <x:v>REF-36</x:v>
      </x:c>
      <x:c r="B42" s="38" t="str">
        <x:v>Ries, E. (2017). El método Lean Startup: Cómo crear empresas de éxito utilizando la innovación continua. Deusto.</x:v>
      </x:c>
      <x:c r="C42" s="37" t="str">
        <x:v>Ries</x:v>
      </x:c>
      <x:c r="D42" s="37" t="str"/>
      <x:c r="E42" s="37" t="n">
        <x:v>2017</x:v>
      </x:c>
      <x:c r="F42" s="37" t="str">
        <x:v>Clásica o fundacional (≤2020)</x:v>
      </x:c>
      <x:c r="G42" s="37" t="str">
        <x:v>Citada</x:v>
      </x:c>
      <x:c r="H42" s="37" t="str">
        <x:v>1</x:v>
      </x:c>
      <x:c r="I42" s="37" t="str">
        <x:v>Libro o informe sin DOI; revisión manual</x:v>
      </x:c>
      <x:c r="J42" s="38" t="str"/>
      <x:c r="K42" s="38" t="str">
        <x:v>Verificación manual necesaria</x:v>
      </x:c>
      <x:c r="L42" s="38" t="str">
        <x:v>Confirmar ISBN y datos de la edición en español publicada por Deusto.</x:v>
      </x:c>
      <x:c r="M42" s="38" t="str">
        <x:v>Media (libro profesional)</x:v>
      </x:c>
      <x:c r="N42" s="38" t="str"/>
      <x:c r="O42" s="38" t="str"/>
      <x:c r="P42" s="38" t="str"/>
      <x:c r="Q42" s="38" t="str"/>
      <x:c r="R42" s="38" t="str"/>
    </x:row>
    <x:row r="43">
      <x:c r="A43" s="37" t="str">
        <x:v>REF-37</x:v>
      </x:c>
      <x:c r="B43" s="38" t="str">
        <x:v>Romero-Hidalgo, J. A., Isiordia-Lachica, P. C., Valenzuela, A., &amp; Rodríguez-Carvajal, R. A. (2021). Knowledge and innovation management model in the organizational environment. Information (Switzerland), 12(6), 225. https://doi.org/10.3390/info12060225</x:v>
      </x:c>
      <x:c r="C43" s="37" t="str">
        <x:v>Romero-Hidalgo</x:v>
      </x:c>
      <x:c r="D43" s="37" t="str">
        <x:v>10.3390/info12060225</x:v>
      </x:c>
      <x:c r="E43" s="37" t="n">
        <x:v>2021</x:v>
      </x:c>
      <x:c r="F43" s="37" t="str">
        <x:v>Reciente (2021–2026)</x:v>
      </x:c>
      <x:c r="G43" s="37" t="str">
        <x:v>Citada</x:v>
      </x:c>
      <x:c r="H43" s="37" t="str">
        <x:v>14, 16</x:v>
      </x:c>
      <x:c r="I43" s="37" t="str">
        <x:v>Verificada con Crossref</x:v>
      </x:c>
      <x:c r="J43" s="38" t="str"/>
      <x:c r="K43" s="38" t="str">
        <x:v>Correcta según metadatos</x:v>
      </x:c>
      <x:c r="L43" s="38" t="str">
        <x:v>Sin ajuste bibliográfico identificado por la validación automatizada.</x:v>
      </x:c>
      <x:c r="M43" s="38" t="str">
        <x:v>Alta</x:v>
      </x:c>
      <x:c r="N43" s="38" t="str">
        <x:v>Knowledge and Innovation Management Model in the Organizational Environment</x:v>
      </x:c>
      <x:c r="O43" s="38" t="str">
        <x:v>Romero-Hidalgo</x:v>
      </x:c>
      <x:c r="P43" s="38" t="n">
        <x:v>2021</x:v>
      </x:c>
      <x:c r="Q43" s="38" t="str">
        <x:v>Information / MDPI AG</x:v>
      </x:c>
      <x:c r="R43" s="38" t="str">
        <x:v>https://doi.org/10.3390/info12060225</x:v>
      </x:c>
    </x:row>
    <x:row r="44">
      <x:c r="A44" s="37" t="str">
        <x:v>REF-38</x:v>
      </x:c>
      <x:c r="B44" s="38" t="str">
        <x:v>Saavedra-García, M., &amp; Tapia-Sánchez, B. (2020). The role of information technologies in Mexican SMEs. Contaduría y Administración, 65(2). https://doi.org/10.22201/fca.24488410e.2020.2215</x:v>
      </x:c>
      <x:c r="C44" s="37" t="str">
        <x:v>Saavedra-García</x:v>
      </x:c>
      <x:c r="D44" s="37" t="str">
        <x:v>10.22201/fca.24488410e.2020.2215</x:v>
      </x:c>
      <x:c r="E44" s="37" t="n">
        <x:v>2020</x:v>
      </x:c>
      <x:c r="F44" s="37" t="str">
        <x:v>Clásica o fundacional (≤2020)</x:v>
      </x:c>
      <x:c r="G44" s="37" t="str">
        <x:v>Citada</x:v>
      </x:c>
      <x:c r="H44" s="37" t="str">
        <x:v>14, 16</x:v>
      </x:c>
      <x:c r="I44" s="37" t="str">
        <x:v>Corrección necesaria</x:v>
      </x:c>
      <x:c r="J44" s="38" t="str">
        <x:v>Título difiere de Crossref (similitud 0.34); Primer autor difiere de Crossref: Tunay; Año en tesis 2020; Crossref 2019</x:v>
      </x:c>
      <x:c r="K44" s="38" t="str">
        <x:v>Corrección necesaria</x:v>
      </x:c>
      <x:c r="L44" s="38" t="str">
        <x:v>Retirar o reemplazar el DOI: 10.22201/fca.24488410e.2020.2215 corresponde a otro artículo. Revalidar además título, autoría y año antes de conservar la fuente.</x:v>
      </x:c>
      <x:c r="M44" s="38" t="str">
        <x:v>Pendiente</x:v>
      </x:c>
      <x:c r="N44" s="38" t="str">
        <x:v>In emerging economies, the effect of excessive credit growth and non - performing loans on banking crisis</x:v>
      </x:c>
      <x:c r="O44" s="38" t="str">
        <x:v>Tunay</x:v>
      </x:c>
      <x:c r="P44" s="38" t="n">
        <x:v>2019</x:v>
      </x:c>
      <x:c r="Q44" s="38" t="str">
        <x:v>Contaduría y Administración / Universidad Nacional Autonoma de Mexico</x:v>
      </x:c>
      <x:c r="R44" s="38" t="str">
        <x:v>https://doi.org/10.22201/fca.24488410e.2020.2215</x:v>
      </x:c>
    </x:row>
    <x:row r="45">
      <x:c r="A45" s="37" t="str">
        <x:v>REF-39</x:v>
      </x:c>
      <x:c r="B45" s="38" t="str">
        <x:v>Shmueli, G. (2010). To explain or to predict? Statistical Science, 25(3), 289–310. https://doi.org/10.1214/10-STS330</x:v>
      </x:c>
      <x:c r="C45" s="37" t="str">
        <x:v>Shmueli</x:v>
      </x:c>
      <x:c r="D45" s="37" t="str">
        <x:v>10.1214/10-STS330</x:v>
      </x:c>
      <x:c r="E45" s="37" t="n">
        <x:v>2010</x:v>
      </x:c>
      <x:c r="F45" s="37" t="str">
        <x:v>Clásica o fundacional (≤2020)</x:v>
      </x:c>
      <x:c r="G45" s="37" t="str">
        <x:v>Citada</x:v>
      </x:c>
      <x:c r="H45" s="37" t="str">
        <x:v>21, 33, 35</x:v>
      </x:c>
      <x:c r="I45" s="37" t="str">
        <x:v>Verificada con Crossref</x:v>
      </x:c>
      <x:c r="J45" s="38" t="str"/>
      <x:c r="K45" s="38" t="str">
        <x:v>Correcta según metadatos</x:v>
      </x:c>
      <x:c r="L45" s="38" t="str">
        <x:v>Sin ajuste bibliográfico identificado por la validación automatizada.</x:v>
      </x:c>
      <x:c r="M45" s="38" t="str">
        <x:v>Alta</x:v>
      </x:c>
      <x:c r="N45" s="38" t="str">
        <x:v>To Explain or to Predict?</x:v>
      </x:c>
      <x:c r="O45" s="38" t="str">
        <x:v>Shmueli</x:v>
      </x:c>
      <x:c r="P45" s="38" t="n">
        <x:v>2010</x:v>
      </x:c>
      <x:c r="Q45" s="38" t="str">
        <x:v>Statistical Science / Institute of Mathematical Statistics</x:v>
      </x:c>
      <x:c r="R45" s="38" t="str">
        <x:v>https://doi.org/10.1214/10-sts330</x:v>
      </x:c>
    </x:row>
    <x:row r="46">
      <x:c r="A46" s="37" t="str">
        <x:v>REF-40</x:v>
      </x:c>
      <x:c r="B46" s="38" t="str">
        <x:v>Spiliotis, E., Makridakis, S., &amp; Assimakopoulos, V. (2025). Continuous business forecasting in modern organizations. Forecasting, 7(1), 12–29. https://doi.org/10.3390/forecast7010012</x:v>
      </x:c>
      <x:c r="C46" s="37" t="str">
        <x:v>Spiliotis</x:v>
      </x:c>
      <x:c r="D46" s="37" t="str">
        <x:v>10.3390/forecast7010012</x:v>
      </x:c>
      <x:c r="E46" s="37" t="n">
        <x:v>2025</x:v>
      </x:c>
      <x:c r="F46" s="37" t="str">
        <x:v>Reciente (2021–2026)</x:v>
      </x:c>
      <x:c r="G46" s="37" t="str">
        <x:v>Citada</x:v>
      </x:c>
      <x:c r="H46" s="37" t="str">
        <x:v>2, 7, 10, 15</x:v>
      </x:c>
      <x:c r="I46" s="37" t="str">
        <x:v>Corrección necesaria</x:v>
      </x:c>
      <x:c r="J46" s="38" t="str">
        <x:v>Título difiere de Crossref (similitud 0.45); Primer autor difiere de Crossref: Macabiog</x:v>
      </x:c>
      <x:c r="K46" s="38" t="str">
        <x:v>Corrección necesaria</x:v>
      </x:c>
      <x:c r="L46" s="38" t="str">
        <x:v>Retirar o reemplazar el DOI: 10.3390/forecast7010012 corresponde a un artículo sobre velocidad del viento. Revalidar la existencia y datos completos de la fuente citada.</x:v>
      </x:c>
      <x:c r="M46" s="38" t="str">
        <x:v>Pendiente</x:v>
      </x:c>
      <x:c r="N46" s="38" t="str">
        <x:v>Multifeature-Driven Multistep Wind Speed Forecasting Using NARXR and Modified VMD Approaches</x:v>
      </x:c>
      <x:c r="O46" s="38" t="str">
        <x:v>Macabiog</x:v>
      </x:c>
      <x:c r="P46" s="38" t="n">
        <x:v>2025</x:v>
      </x:c>
      <x:c r="Q46" s="38" t="str">
        <x:v>Forecasting / MDPI AG</x:v>
      </x:c>
      <x:c r="R46" s="38" t="str">
        <x:v>https://doi.org/10.3390/forecast7010012</x:v>
      </x:c>
    </x:row>
    <x:row r="47">
      <x:c r="A47" s="37" t="str">
        <x:v>REF-41</x:v>
      </x:c>
      <x:c r="B47" s="38" t="str">
        <x:v>Spiliotis, E., Makridakis, S., Semenoglou, A. A., &amp; Assimakopoulos, V. (2022). Comparison of statistical and machine learning methods for daily SKU demand forecasting. Operational Research, 22(3), 3037–3061. https://doi.org/10.1007/s12351-020-00605-2</x:v>
      </x:c>
      <x:c r="C47" s="37" t="str">
        <x:v>Spiliotis</x:v>
      </x:c>
      <x:c r="D47" s="37" t="str">
        <x:v>10.1007/s12351-020-00605-2</x:v>
      </x:c>
      <x:c r="E47" s="37" t="n">
        <x:v>2022</x:v>
      </x:c>
      <x:c r="F47" s="37" t="str">
        <x:v>Reciente (2021–2026)</x:v>
      </x:c>
      <x:c r="G47" s="37" t="str">
        <x:v>Citada</x:v>
      </x:c>
      <x:c r="H47" s="37" t="str">
        <x:v>2, 7, 10, 15, 18</x:v>
      </x:c>
      <x:c r="I47" s="37" t="str">
        <x:v>Verificada con Crossref</x:v>
      </x:c>
      <x:c r="J47" s="38" t="str"/>
      <x:c r="K47" s="38" t="str">
        <x:v>Correcta según metadatos</x:v>
      </x:c>
      <x:c r="L47" s="38" t="str">
        <x:v>Sin ajuste bibliográfico identificado por la validación automatizada.</x:v>
      </x:c>
      <x:c r="M47" s="38" t="str">
        <x:v>Muy alta</x:v>
      </x:c>
      <x:c r="N47" s="38" t="str">
        <x:v>Comparison of statistical and machine learning methods for daily SKU demand forecasting</x:v>
      </x:c>
      <x:c r="O47" s="38" t="str">
        <x:v>Spiliotis</x:v>
      </x:c>
      <x:c r="P47" s="38" t="n">
        <x:v>2022</x:v>
      </x:c>
      <x:c r="Q47" s="38" t="str">
        <x:v>Operational Research / Springer Science and Business Media LLC</x:v>
      </x:c>
      <x:c r="R47" s="38" t="str">
        <x:v>https://doi.org/10.1007/s12351-020-00605-2</x:v>
      </x:c>
    </x:row>
    <x:row r="48">
      <x:c r="A48" s="37" t="str">
        <x:v>REF-42</x:v>
      </x:c>
      <x:c r="B48" s="38" t="str">
        <x:v>Syntetos, A. A., &amp; Boylan, J. E. (2005). The accuracy of intermittent demand estimates. International Journal of Forecasting, 21(2), 303–314. https://doi.org/10.1016/j.ijforecast.2004.10.001</x:v>
      </x:c>
      <x:c r="C48" s="37" t="str">
        <x:v>Syntetos</x:v>
      </x:c>
      <x:c r="D48" s="37" t="str">
        <x:v>10.1016/j.ijforecast.2004.10.001</x:v>
      </x:c>
      <x:c r="E48" s="37" t="n">
        <x:v>2005</x:v>
      </x:c>
      <x:c r="F48" s="37" t="str">
        <x:v>Clásica o fundacional (≤2020)</x:v>
      </x:c>
      <x:c r="G48" s="37" t="str">
        <x:v>Citada</x:v>
      </x:c>
      <x:c r="H48" s="37" t="str">
        <x:v>11, 17</x:v>
      </x:c>
      <x:c r="I48" s="37" t="str">
        <x:v>Verificada con Crossref</x:v>
      </x:c>
      <x:c r="J48" s="38" t="str"/>
      <x:c r="K48" s="38" t="str">
        <x:v>Correcta según metadatos</x:v>
      </x:c>
      <x:c r="L48" s="38" t="str">
        <x:v>Sin ajuste bibliográfico identificado por la validación automatizada.</x:v>
      </x:c>
      <x:c r="M48" s="38" t="str">
        <x:v>Muy alta</x:v>
      </x:c>
      <x:c r="N48" s="38" t="str">
        <x:v>The accuracy of intermittent demand estimates</x:v>
      </x:c>
      <x:c r="O48" s="38" t="str">
        <x:v>Syntetos</x:v>
      </x:c>
      <x:c r="P48" s="38" t="n">
        <x:v>2005</x:v>
      </x:c>
      <x:c r="Q48" s="38" t="str">
        <x:v>International Journal of Forecasting / Elsevier BV</x:v>
      </x:c>
      <x:c r="R48" s="38" t="str">
        <x:v>https://doi.org/10.1016/j.ijforecast.2004.10.001</x:v>
      </x:c>
    </x:row>
    <x:row r="49">
      <x:c r="A49" s="37" t="str">
        <x:v>REF-43</x:v>
      </x:c>
      <x:c r="B49" s="38" t="str">
        <x:v>Syntetos, A. A., Boylan, J. E., &amp; Croston, J. D. (2005). On the categorization of demand patterns. Journal of the Operational Research Society, 56(5), 495–503. https://doi.org/10.1057/palgrave.jors.2601841</x:v>
      </x:c>
      <x:c r="C49" s="37" t="str">
        <x:v>Syntetos</x:v>
      </x:c>
      <x:c r="D49" s="37" t="str">
        <x:v>10.1057/palgrave.jors.2601841</x:v>
      </x:c>
      <x:c r="E49" s="37" t="n">
        <x:v>2005</x:v>
      </x:c>
      <x:c r="F49" s="37" t="str">
        <x:v>Clásica o fundacional (≤2020)</x:v>
      </x:c>
      <x:c r="G49" s="37" t="str">
        <x:v>Citada</x:v>
      </x:c>
      <x:c r="H49" s="37" t="str">
        <x:v>11, 17</x:v>
      </x:c>
      <x:c r="I49" s="37" t="str">
        <x:v>Verificada con Crossref</x:v>
      </x:c>
      <x:c r="J49" s="38" t="str"/>
      <x:c r="K49" s="38" t="str">
        <x:v>Correcta según metadatos</x:v>
      </x:c>
      <x:c r="L49" s="38" t="str">
        <x:v>Sin ajuste bibliográfico identificado por la validación automatizada.</x:v>
      </x:c>
      <x:c r="M49" s="38" t="str">
        <x:v>Alta</x:v>
      </x:c>
      <x:c r="N49" s="38" t="str">
        <x:v>On the categorization of demand patterns</x:v>
      </x:c>
      <x:c r="O49" s="38" t="str">
        <x:v>Syntetos</x:v>
      </x:c>
      <x:c r="P49" s="38" t="n">
        <x:v>2005</x:v>
      </x:c>
      <x:c r="Q49" s="38" t="str">
        <x:v>Journal of the Operational Research Society / Informa UK Limited</x:v>
      </x:c>
      <x:c r="R49" s="38" t="str">
        <x:v>https://doi.org/10.1057/palgrave.jors.2601841</x:v>
      </x:c>
    </x:row>
    <x:row r="50">
      <x:c r="A50" s="37" t="str">
        <x:v>REF-44</x:v>
      </x:c>
      <x:c r="B50" s="38" t="str">
        <x:v>Tashman, L. J. (2000). Out-of-sample tests of forecasting accuracy: An analysis and review. International Journal of Forecasting, 16(4), 437–450. https://doi.org/10.1016/S0169-2070(00)00065-0</x:v>
      </x:c>
      <x:c r="C50" s="37" t="str">
        <x:v>Tashman</x:v>
      </x:c>
      <x:c r="D50" s="37" t="str">
        <x:v>10.1016/S0169-2070(00)00065-0</x:v>
      </x:c>
      <x:c r="E50" s="37" t="n">
        <x:v>2000</x:v>
      </x:c>
      <x:c r="F50" s="37" t="str">
        <x:v>Clásica o fundacional (≤2020)</x:v>
      </x:c>
      <x:c r="G50" s="37" t="str">
        <x:v>Citada</x:v>
      </x:c>
      <x:c r="H50" s="37" t="str">
        <x:v>25, 31, 33</x:v>
      </x:c>
      <x:c r="I50" s="37" t="str">
        <x:v>Verificada con Crossref</x:v>
      </x:c>
      <x:c r="J50" s="38" t="str"/>
      <x:c r="K50" s="38" t="str">
        <x:v>Correcta según metadatos</x:v>
      </x:c>
      <x:c r="L50" s="38" t="str">
        <x:v>Sin ajuste bibliográfico identificado por la validación automatizada.</x:v>
      </x:c>
      <x:c r="M50" s="38" t="str">
        <x:v>Muy alta</x:v>
      </x:c>
      <x:c r="N50" s="38" t="str">
        <x:v>Out-of-sample tests of forecasting accuracy: an analysis and review</x:v>
      </x:c>
      <x:c r="O50" s="38" t="str">
        <x:v>Tashman</x:v>
      </x:c>
      <x:c r="P50" s="38" t="n">
        <x:v>2000</x:v>
      </x:c>
      <x:c r="Q50" s="38" t="str">
        <x:v>International Journal of Forecasting / Elsevier BV</x:v>
      </x:c>
      <x:c r="R50" s="38" t="str">
        <x:v>https://doi.org/10.1016/s0169-2070(00)00065-0</x:v>
      </x:c>
    </x:row>
    <x:row r="51">
      <x:c r="A51" s="37" t="str">
        <x:v>REF-45</x:v>
      </x:c>
      <x:c r="B51" s="38" t="str">
        <x:v>Teunter, R. H., Syntetos, A. A., &amp; Babai, M. Z. (2011). Intermittent demand: Linking forecasting to inventory obsolescence. European Journal of Operational Research, 214(3), 606–615. https://doi.org/10.1016/j.ejor.2011.05.018</x:v>
      </x:c>
      <x:c r="C51" s="37" t="str">
        <x:v>Teunter</x:v>
      </x:c>
      <x:c r="D51" s="37" t="str">
        <x:v>10.1016/j.ejor.2011.05.018</x:v>
      </x:c>
      <x:c r="E51" s="37" t="n">
        <x:v>2011</x:v>
      </x:c>
      <x:c r="F51" s="37" t="str">
        <x:v>Clásica o fundacional (≤2020)</x:v>
      </x:c>
      <x:c r="G51" s="37" t="str">
        <x:v>Citada</x:v>
      </x:c>
      <x:c r="H51" s="37" t="str">
        <x:v>11</x:v>
      </x:c>
      <x:c r="I51" s="37" t="str">
        <x:v>Verificada con Crossref</x:v>
      </x:c>
      <x:c r="J51" s="38" t="str"/>
      <x:c r="K51" s="38" t="str">
        <x:v>Correcta según metadatos</x:v>
      </x:c>
      <x:c r="L51" s="38" t="str">
        <x:v>Sin ajuste bibliográfico identificado por la validación automatizada.</x:v>
      </x:c>
      <x:c r="M51" s="38" t="str">
        <x:v>Muy alta</x:v>
      </x:c>
      <x:c r="N51" s="38" t="str">
        <x:v>Intermittent demand: Linking forecasting to inventory obsolescence</x:v>
      </x:c>
      <x:c r="O51" s="38" t="str">
        <x:v>Teunter</x:v>
      </x:c>
      <x:c r="P51" s="38" t="n">
        <x:v>2011</x:v>
      </x:c>
      <x:c r="Q51" s="38" t="str">
        <x:v>European Journal of Operational Research / Elsevier BV</x:v>
      </x:c>
      <x:c r="R51" s="38" t="str">
        <x:v>https://doi.org/10.1016/j.ejor.2011.05.018</x:v>
      </x:c>
    </x:row>
    <x:row r="52">
      <x:c r="A52" s="37" t="str">
        <x:v>REF-46</x:v>
      </x:c>
      <x:c r="B52" s="38" t="str">
        <x:v>Tibshirani, R. (1996). Regression shrinkage and selection via the lasso. Journal of the Royal Statistical Society: Series B (Methodological), 58(1), 267–288. https://doi.org/10.1111/j.2517-6161.1996.tb02080.x</x:v>
      </x:c>
      <x:c r="C52" s="37" t="str">
        <x:v>Tibshirani</x:v>
      </x:c>
      <x:c r="D52" s="37" t="str">
        <x:v>10.1111/j.2517-6161.1996.tb02080.x</x:v>
      </x:c>
      <x:c r="E52" s="37" t="n">
        <x:v>1996</x:v>
      </x:c>
      <x:c r="F52" s="37" t="str">
        <x:v>Clásica o fundacional (≤2020)</x:v>
      </x:c>
      <x:c r="G52" s="37" t="str">
        <x:v>Citada</x:v>
      </x:c>
      <x:c r="H52" s="37" t="str">
        <x:v>29, 30</x:v>
      </x:c>
      <x:c r="I52" s="37" t="str">
        <x:v>Verificada con Crossref</x:v>
      </x:c>
      <x:c r="J52" s="38" t="str"/>
      <x:c r="K52" s="38" t="str">
        <x:v>Correcta según metadatos</x:v>
      </x:c>
      <x:c r="L52" s="38" t="str">
        <x:v>Sin ajuste bibliográfico identificado por la validación automatizada.</x:v>
      </x:c>
      <x:c r="M52" s="38" t="str">
        <x:v>Alta</x:v>
      </x:c>
      <x:c r="N52" s="38" t="str">
        <x:v>Regression Shrinkage and Selection Via the Lasso</x:v>
      </x:c>
      <x:c r="O52" s="38" t="str">
        <x:v>Tibshirani</x:v>
      </x:c>
      <x:c r="P52" s="38" t="n">
        <x:v>1996</x:v>
      </x:c>
      <x:c r="Q52" s="38" t="str">
        <x:v>Journal of the Royal Statistical Society Series B: Statistical Methodology / Oxford University Press (OUP)</x:v>
      </x:c>
      <x:c r="R52" s="38" t="str">
        <x:v>https://doi.org/10.1111/j.2517-6161.1996.tb02080.x</x:v>
      </x:c>
    </x:row>
    <x:row r="53">
      <x:c r="A53" s="37" t="str">
        <x:v>REF-47</x:v>
      </x:c>
      <x:c r="B53" s="38" t="str">
        <x:v>Valdez-Juárez, L. E., García-Pérez-de-Lema, D., &amp; Maldonado-Guzmán, G. (2018). ICT and KM, drivers of innovation and profitability in SMEs. Journal of Information &amp; Knowledge Management, 17(1), 1850007. https://doi.org/10.1142/S0219649218500077</x:v>
      </x:c>
      <x:c r="C53" s="37" t="str">
        <x:v>Valdez-Juárez</x:v>
      </x:c>
      <x:c r="D53" s="37" t="str">
        <x:v>10.1142/S0219649218500077</x:v>
      </x:c>
      <x:c r="E53" s="37" t="n">
        <x:v>2018</x:v>
      </x:c>
      <x:c r="F53" s="37" t="str">
        <x:v>Clásica o fundacional (≤2020)</x:v>
      </x:c>
      <x:c r="G53" s="37" t="str">
        <x:v>Citada</x:v>
      </x:c>
      <x:c r="H53" s="37" t="str">
        <x:v>13, 16</x:v>
      </x:c>
      <x:c r="I53" s="37" t="str">
        <x:v>Verificada con Crossref</x:v>
      </x:c>
      <x:c r="J53" s="38" t="str"/>
      <x:c r="K53" s="38" t="str">
        <x:v>Correcta según metadatos</x:v>
      </x:c>
      <x:c r="L53" s="38" t="str">
        <x:v>Sin ajuste bibliográfico identificado por la validación automatizada.</x:v>
      </x:c>
      <x:c r="M53" s="38" t="str">
        <x:v>Alta</x:v>
      </x:c>
      <x:c r="N53" s="38" t="str">
        <x:v>ICT and KM, Drivers of Innovation and Profitability in SMEs</x:v>
      </x:c>
      <x:c r="O53" s="38" t="str">
        <x:v>Valdez-Juárez</x:v>
      </x:c>
      <x:c r="P53" s="38" t="n">
        <x:v>2018</x:v>
      </x:c>
      <x:c r="Q53" s="38" t="str">
        <x:v>Journal of Information &amp;amp; Knowledge Management / World Scientific Pub Co Pte Ltd</x:v>
      </x:c>
      <x:c r="R53" s="38" t="str">
        <x:v>https://doi.org/10.1142/s0219649218500077</x:v>
      </x:c>
    </x:row>
    <x:row r="54">
      <x:c r="A54" s="37" t="str">
        <x:v>REF-48</x:v>
      </x:c>
      <x:c r="B54" s="38" t="str">
        <x:v>Zhang, G. P. (2003). Time series forecasting using a hybrid ARIMA and neural network model. Neurocomputing, 50, 159–175. https://doi.org/10.1016/S0925-2312(01)00702-0</x:v>
      </x:c>
      <x:c r="C54" s="37" t="str">
        <x:v>Zhang</x:v>
      </x:c>
      <x:c r="D54" s="37" t="str">
        <x:v>10.1016/S0925-2312(01)00702-0</x:v>
      </x:c>
      <x:c r="E54" s="37" t="n">
        <x:v>2003</x:v>
      </x:c>
      <x:c r="F54" s="37" t="str">
        <x:v>Clásica o fundacional (≤2020)</x:v>
      </x:c>
      <x:c r="G54" s="37" t="str">
        <x:v>Citada</x:v>
      </x:c>
      <x:c r="H54" s="37" t="str">
        <x:v>27, 78</x:v>
      </x:c>
      <x:c r="I54" s="37" t="str">
        <x:v>Verificada con Crossref</x:v>
      </x:c>
      <x:c r="J54" s="38" t="str"/>
      <x:c r="K54" s="38" t="str">
        <x:v>Correcta según metadatos</x:v>
      </x:c>
      <x:c r="L54" s="38" t="str">
        <x:v>Sin ajuste bibliográfico identificado por la validación automatizada.</x:v>
      </x:c>
      <x:c r="M54" s="38" t="str">
        <x:v>Muy alta</x:v>
      </x:c>
      <x:c r="N54" s="38" t="str">
        <x:v>Time series forecasting using a hybrid ARIMA and neural network model</x:v>
      </x:c>
      <x:c r="O54" s="38" t="str">
        <x:v>Zhang</x:v>
      </x:c>
      <x:c r="P54" s="38" t="n">
        <x:v>2003</x:v>
      </x:c>
      <x:c r="Q54" s="38" t="str">
        <x:v>Neurocomputing / Elsevier BV</x:v>
      </x:c>
      <x:c r="R54" s="38" t="str">
        <x:v>https://doi.org/10.1016/s0925-2312(01)00702-0</x:v>
      </x:c>
    </x:row>
  </x:sheetData>
  <x:mergeCells>
    <x:mergeCell ref="A1:R1"/>
    <x:mergeCell ref="A2:R2"/>
  </x:mergeCells>
  <x:conditionalFormatting sqref="A7:R54">
    <x:cfRule type="containsText" dxfId="0" priority="1" operator="containsText" text="Corrección necesaria"/>
    <x:cfRule type="containsText" dxfId="1" priority="2" operator="containsText" text="Verificación manual necesaria"/>
    <x:cfRule type="containsText" dxfId="2" priority="3" operator="containsText" text="Correcta según metadatos"/>
  </x:conditionalFormatting>
  <x:pageMargins left="0.7" right="0.7" top="0.75" bottom="0.75" header="0.3" footer="0.3"/>
  <x:tableParts count="1">
    <x:tablePart xmlns:r="http://schemas.openxmlformats.org/officeDocument/2006/relationships" r:id="R15a562455ef647b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38" hidden="0" customWidth="1"/>
    <x:col min="4" max="4" width="18" hidden="0" customWidth="1"/>
    <x:col min="5" max="5" width="54" hidden="0" customWidth="1"/>
    <x:col min="6" max="6" width="54" hidden="0" customWidth="1"/>
    <x:col min="7" max="7" width="14" hidden="0" customWidth="1"/>
  </x:cols>
  <x:sheetData>
    <x:row r="1">
      <x:c r="A1" s="32" t="str">
        <x:v>Hallazgos que impiden declarar la bibliografía totalmente cerrada</x:v>
      </x:c>
      <x:c r="B1" s="32"/>
      <x:c r="C1" s="32"/>
      <x:c r="D1" s="32"/>
      <x:c r="E1" s="32"/>
      <x:c r="F1" s="32"/>
      <x:c r="G1" s="32"/>
    </x:row>
    <x:row r="2">
      <x:c r="A2" s="4" t="str">
        <x:v>Los candidatos huérfanos detectados por apellidos de coautores fueron descartados como falsos positivos.</x:v>
      </x:c>
      <x:c r="B2" s="4"/>
      <x:c r="C2" s="4"/>
      <x:c r="D2" s="4"/>
      <x:c r="E2" s="4"/>
      <x:c r="F2" s="4"/>
      <x:c r="G2" s="4"/>
    </x:row>
    <x:row r="3">
      <x:c r="A3" s="10"/>
      <x:c r="B3" s="10"/>
      <x:c r="C3" s="10"/>
      <x:c r="D3" s="10"/>
      <x:c r="E3" s="10"/>
      <x:c r="F3" s="10"/>
      <x:c r="G3" s="10"/>
    </x:row>
    <x:row r="4">
      <x:c r="A4" s="10"/>
      <x:c r="B4" s="10"/>
      <x:c r="C4" s="10"/>
      <x:c r="D4" s="10"/>
      <x:c r="E4" s="10"/>
      <x:c r="F4" s="10"/>
      <x:c r="G4" s="10"/>
    </x:row>
    <x:row r="5">
      <x:c r="A5" s="40" t="str">
        <x:v>Prioridad</x:v>
      </x:c>
      <x:c r="B5" s="40" t="str">
        <x:v>Tipo</x:v>
      </x:c>
      <x:c r="C5" s="40" t="str">
        <x:v>Referencia / cita</x:v>
      </x:c>
      <x:c r="D5" s="40" t="str">
        <x:v>Páginas</x:v>
      </x:c>
      <x:c r="E5" s="40" t="str">
        <x:v>Evidencia</x:v>
      </x:c>
      <x:c r="F5" s="40" t="str">
        <x:v>Acción concreta</x:v>
      </x:c>
      <x:c r="G5" s="40" t="str">
        <x:v>Estado</x:v>
      </x:c>
    </x:row>
    <x:row r="6">
      <x:c r="A6" s="29" t="str">
        <x:v>Alta</x:v>
      </x:c>
      <x:c r="B6" s="29" t="str">
        <x:v>DOI incorrecto</x:v>
      </x:c>
      <x:c r="C6" s="29" t="str">
        <x:v>REF-38 — Saavedra-García y Tapia-Sánchez (2020)</x:v>
      </x:c>
      <x:c r="D6" s="29" t="str">
        <x:v>14, 16</x:v>
      </x:c>
      <x:c r="E6" s="29" t="str">
        <x:v>El DOI registrado corresponde a Tunay (2019) y a un artículo sobre crisis bancarias.</x:v>
      </x:c>
      <x:c r="F6" s="29" t="str">
        <x:v>Revalidar la fuente; reemplazar DOI y metadatos o retirar la cita.</x:v>
      </x:c>
      <x:c r="G6" s="29" t="str">
        <x:v>Pendiente</x:v>
      </x:c>
    </x:row>
    <x:row r="7">
      <x:c r="A7" s="29" t="str">
        <x:v>Alta</x:v>
      </x:c>
      <x:c r="B7" s="29" t="str">
        <x:v>DOI incorrecto</x:v>
      </x:c>
      <x:c r="C7" s="29" t="str">
        <x:v>REF-40 — Spiliotis et al. (2025)</x:v>
      </x:c>
      <x:c r="D7" s="29" t="str">
        <x:v>2, 7, 10, 15</x:v>
      </x:c>
      <x:c r="E7" s="29" t="str">
        <x:v>El DOI registrado corresponde a Macabiog et al. (2025), sobre pronóstico de velocidad del viento.</x:v>
      </x:c>
      <x:c r="F7" s="29" t="str">
        <x:v>Revalidar la existencia de la fuente; reemplazar DOI y datos o retirar la cita.</x:v>
      </x:c>
      <x:c r="G7" s="29" t="str">
        <x:v>Pendiente</x:v>
      </x:c>
    </x:row>
    <x:row r="8">
      <x:c r="A8" s="29" t="str">
        <x:v>Alta</x:v>
      </x:c>
      <x:c r="B8" s="29" t="str">
        <x:v>Autor incorrecto</x:v>
      </x:c>
      <x:c r="C8" s="29" t="str">
        <x:v>REF-04 — Ben Abdallah et al. (2022)</x:v>
      </x:c>
      <x:c r="D8" s="29" t="str">
        <x:v>12, 16</x:v>
      </x:c>
      <x:c r="E8" s="29" t="str">
        <x:v>Crossref identifica a Omrane como primer autor del DOI y conserva el mismo título.</x:v>
      </x:c>
      <x:c r="F8" s="29" t="str">
        <x:v>Corregir la referencia y las dos citas en texto.</x:v>
      </x:c>
      <x:c r="G8" s="29" t="str">
        <x:v>Pendiente</x:v>
      </x:c>
    </x:row>
    <x:row r="9">
      <x:c r="A9" s="29" t="str">
        <x:v>Media</x:v>
      </x:c>
      <x:c r="B9" s="29" t="str">
        <x:v>Año discrepante</x:v>
      </x:c>
      <x:c r="C9" s="29" t="str">
        <x:v>REF-10 — Dubey et al. (2021)</x:v>
      </x:c>
      <x:c r="D9" s="29" t="str">
        <x:v>3, 12, 13, 16</x:v>
      </x:c>
      <x:c r="E9" s="29" t="str">
        <x:v>Crossref registra 2020 para el volumen 226 y el DOI indicado.</x:v>
      </x:c>
      <x:c r="F9" s="29" t="str">
        <x:v>Confirmar en la página editorial y homologar el año en lista y texto.</x:v>
      </x:c>
      <x:c r="G9" s="29" t="str">
        <x:v>Pendiente</x:v>
      </x:c>
    </x:row>
    <x:row r="10">
      <x:c r="A10" s="29" t="str">
        <x:v>Media</x:v>
      </x:c>
      <x:c r="B10" s="29" t="str">
        <x:v>Cita ambigua</x:v>
      </x:c>
      <x:c r="C10" s="29" t="str">
        <x:v>Makridakis et al. (2018)</x:v>
      </x:c>
      <x:c r="D10" s="29" t="str">
        <x:v>3, 8, 27, 79</x:v>
      </x:c>
      <x:c r="E10" s="29" t="str">
        <x:v>La bibliografía contiene dos obras de 2018 (2018a y 2018b), pero varias citas omiten el sufijo.</x:v>
      </x:c>
      <x:c r="F10" s="29" t="str">
        <x:v>Asignar 2018a o 2018b según el argumento de cada párrafo.</x:v>
      </x:c>
      <x:c r="G10" s="29" t="str">
        <x:v>Pendiente</x:v>
      </x:c>
    </x:row>
    <x:row r="11">
      <x:c r="A11" s="29" t="str">
        <x:v>Baja</x:v>
      </x:c>
      <x:c r="B11" s="29" t="str">
        <x:v>Verificación manual</x:v>
      </x:c>
      <x:c r="C11" s="29" t="str">
        <x:v>REF-01, 13, 18, 22, 23, 35 y 36</x:v>
      </x:c>
      <x:c r="D11" s="29" t="str">
        <x:v>Véase detalle</x:v>
      </x:c>
      <x:c r="E11" s="29" t="str">
        <x:v>Fuentes sin validación Crossref concluyente o sin DOI.</x:v>
      </x:c>
      <x:c r="F11" s="29" t="str">
        <x:v>Confirmar en portal institucional, catálogo editorial, ISBN o DataCite/arXiv.</x:v>
      </x:c>
      <x:c r="G11" s="29" t="str">
        <x:v>Pendiente</x:v>
      </x:c>
    </x:row>
  </x:sheetData>
  <x:mergeCells>
    <x:mergeCell ref="A1:G1"/>
    <x:mergeCell ref="A2:G2"/>
  </x:mergeCells>
  <x:conditionalFormatting sqref="A6:G11">
    <x:cfRule type="containsText" dxfId="3" priority="1" operator="containsText" text="Alta"/>
    <x:cfRule type="containsText" dxfId="4" priority="2" operator="containsText" text="Media"/>
  </x:conditionalFormatting>
  <x:pageMargins left="0.7" right="0.7" top="0.75" bottom="0.75" header="0.3" footer="0.3"/>
  <x:tableParts count="1">
    <x:tablePart xmlns:r="http://schemas.openxmlformats.org/officeDocument/2006/relationships" r:id="R83bcc703554c43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6" hidden="0" customWidth="1"/>
    <x:col min="3" max="3" width="4" hidden="0" customWidth="1"/>
    <x:col min="4" max="4" width="24" hidden="0" customWidth="1"/>
    <x:col min="5" max="5" width="48" hidden="0" customWidth="1"/>
    <x:col min="6" max="6" width="50" hidden="0" customWidth="1"/>
  </x:cols>
  <x:sheetData>
    <x:row r="1">
      <x:c r="A1" s="32" t="str">
        <x:v>Método, alcance y fuentes de verificación</x:v>
      </x:c>
      <x:c r="B1" s="32"/>
      <x:c r="C1" s="32"/>
      <x:c r="D1" s="32"/>
      <x:c r="E1" s="32"/>
      <x:c r="F1" s="32"/>
    </x:row>
    <x:row r="2">
      <x:c r="A2" s="10"/>
      <x:c r="B2" s="10"/>
      <x:c r="C2" s="10"/>
      <x:c r="D2" s="10"/>
      <x:c r="E2" s="10"/>
      <x:c r="F2" s="10"/>
    </x:row>
    <x:row r="3">
      <x:c r="A3" s="14" t="str">
        <x:v>Elemento</x:v>
      </x:c>
      <x:c r="B3" s="14" t="str">
        <x:v>Descripción</x:v>
      </x:c>
      <x:c r="C3" s="10"/>
      <x:c r="D3" s="14" t="str">
        <x:v>Fuente</x:v>
      </x:c>
      <x:c r="E3" s="14" t="str">
        <x:v>Uso</x:v>
      </x:c>
      <x:c r="F3" s="14" t="str">
        <x:v>Enlace</x:v>
      </x:c>
    </x:row>
    <x:row r="4">
      <x:c r="A4" s="29" t="str">
        <x:v>Documento auditado</x:v>
      </x:c>
      <x:c r="B4" s="29" t="str">
        <x:v>TESIS_OCT2026_Rev67_(ZUJ)_Final.docx</x:v>
      </x:c>
      <x:c r="C4" s="10"/>
      <x:c r="D4" s="29" t="str">
        <x:v>Crossref</x:v>
      </x:c>
      <x:c r="E4" s="29" t="str">
        <x:v>Metadatos DOI de artículos, capítulos, libros e informes.</x:v>
      </x:c>
      <x:c r="F4" s="29" t="str">
        <x:v>https://api.crossref.org/works/</x:v>
      </x:c>
    </x:row>
    <x:row r="5">
      <x:c r="A5" s="29" t="str">
        <x:v>Alcance interno</x:v>
      </x:c>
      <x:c r="B5" s="29" t="str">
        <x:v>Extracción de 48 entradas bibliográficas y búsqueda de autor-año en las páginas impresas de la Rev67.</x:v>
      </x:c>
      <x:c r="C5" s="10"/>
      <x:c r="D5" s="29" t="str">
        <x:v>DOI Foundation</x:v>
      </x:c>
      <x:c r="E5" s="29" t="str">
        <x:v>Resolución del identificador DOI.</x:v>
      </x:c>
      <x:c r="F5" s="29" t="str">
        <x:v>https://doi.org/</x:v>
      </x:c>
    </x:row>
    <x:row r="6">
      <x:c r="A6" s="29" t="str">
        <x:v>Alcance externo</x:v>
      </x:c>
      <x:c r="B6" s="29" t="str">
        <x:v>Consulta automática de 42 DOI contra Crossref; revisión manual señalada para DOI de arXiv/DataCite, URL institucional y libros sin DOI.</x:v>
      </x:c>
      <x:c r="C6" s="10"/>
      <x:c r="D6" s="29" t="str">
        <x:v>arXiv</x:v>
      </x:c>
      <x:c r="E6" s="29" t="str">
        <x:v>Verificación manual de preprints.</x:v>
      </x:c>
      <x:c r="F6" s="29" t="str">
        <x:v>https://arxiv.org/</x:v>
      </x:c>
    </x:row>
    <x:row r="7">
      <x:c r="A7" s="29" t="str">
        <x:v>Criterio de correspondencia</x:v>
      </x:c>
      <x:c r="B7" s="29" t="str">
        <x:v>Una referencia se considera mencionada cuando autor principal y año aparecen en el cuerpo, tablas o anexos antes de la bibliografía.</x:v>
      </x:c>
      <x:c r="C7" s="10"/>
      <x:c r="D7" s="29" t="str">
        <x:v>Portales institucionales</x:v>
      </x:c>
      <x:c r="E7" s="29" t="str">
        <x:v>GEM, INEGI, OECD, OTexts y Prodem.</x:v>
      </x:c>
      <x:c r="F7" s="29" t="str">
        <x:v>Según la URL de cada referencia</x:v>
      </x:c>
    </x:row>
    <x:row r="8">
      <x:c r="A8" s="29" t="str">
        <x:v>Criterio de corrección</x:v>
      </x:c>
      <x:c r="B8" s="29" t="str">
        <x:v>Coincidencia de título, autor principal y año con el registro externo. Un DOI que resuelve a otra obra se clasifica como corrección necesaria.</x:v>
      </x:c>
      <x:c r="C8" s="10"/>
      <x:c r="D8" s="29" t="str">
        <x:v>Rev67</x:v>
      </x:c>
      <x:c r="E8" s="29" t="str">
        <x:v>Correspondencia entre citas del texto y lista bibliográfica.</x:v>
      </x:c>
      <x:c r="F8" s="29" t="str">
        <x:v>Documento local auditado</x:v>
      </x:c>
    </x:row>
    <x:row r="9">
      <x:c r="A9" s="29" t="str">
        <x:v>Paginación</x:v>
      </x:c>
      <x:c r="B9" s="29" t="str">
        <x:v>Páginas del cuerpo impresas en el documento; la bibliografía comienza en la página 86.</x:v>
      </x:c>
      <x:c r="C9" s="10"/>
      <x:c r="D9" s="10"/>
      <x:c r="E9" s="10"/>
      <x:c r="F9" s="10"/>
    </x:row>
    <x:row r="10">
      <x:c r="A10" s="29" t="str">
        <x:v>Limitación</x:v>
      </x:c>
      <x:c r="B10" s="29" t="str">
        <x:v>La presencia de una cita no prueba que la fuente respalde semánticamente cada afirmación. Esa revisión requiere lectura de contenido fuente por fuente.</x:v>
      </x:c>
      <x:c r="C10" s="10"/>
      <x:c r="D10" s="10"/>
      <x:c r="E10" s="10"/>
      <x:c r="F10" s="10"/>
    </x:row>
    <x:row r="11">
      <x:c r="A11" s="29" t="str">
        <x:v>Fecha de corte</x:v>
      </x:c>
      <x:c r="B11" s="29" t="str">
        <x:v>28 de octubre de 2026</x:v>
      </x:c>
      <x:c r="C11" s="10"/>
      <x:c r="D11" s="10"/>
      <x:c r="E11" s="10"/>
      <x:c r="F11" s="10"/>
    </x:row>
  </x:sheetData>
  <x:mergeCells>
    <x:mergeCell ref="A1:F1"/>
  </x:mergeCells>
  <x:pageMargins left="0.7" right="0.7" top="0.75" bottom="0.75" header="0.3" footer="0.3"/>
</x:worksheet>
</file>